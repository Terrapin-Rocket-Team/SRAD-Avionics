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D_Projects\University Programs\2025 SRDP AEOP FUNDING\RAMAKRISHNA PRATHEEK\"/>
    </mc:Choice>
  </mc:AlternateContent>
  <xr:revisionPtr revIDLastSave="0" documentId="13_ncr:1_{52C5BD18-46DC-4ED4-A316-BB26691B39B5}" xr6:coauthVersionLast="47" xr6:coauthVersionMax="47" xr10:uidLastSave="{00000000-0000-0000-0000-000000000000}"/>
  <bookViews>
    <workbookView xWindow="-108" yWindow="60" windowWidth="23256" windowHeight="12288" firstSheet="1" activeTab="1" xr2:uid="{00000000-000D-0000-FFFF-FFFF00000000}"/>
  </bookViews>
  <sheets>
    <sheet name="Undergraduate" sheetId="2" r:id="rId1"/>
    <sheet name="Worksheet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0" i="6" l="1"/>
  <c r="AH14" i="6"/>
  <c r="T14" i="2"/>
  <c r="R14" i="2"/>
  <c r="P14" i="2"/>
  <c r="N14" i="2"/>
  <c r="L14" i="2"/>
  <c r="J15" i="2"/>
  <c r="J14" i="2"/>
  <c r="H14" i="2"/>
  <c r="H19" i="2" s="1"/>
  <c r="F15" i="2"/>
  <c r="F14" i="2"/>
  <c r="D14" i="2"/>
  <c r="D15" i="2" s="1"/>
  <c r="C11" i="2"/>
  <c r="C15" i="2" s="1"/>
  <c r="E11" i="2"/>
  <c r="E14" i="2" s="1"/>
  <c r="G11" i="2"/>
  <c r="G14" i="2" s="1"/>
  <c r="I11" i="2"/>
  <c r="I14" i="2" s="1"/>
  <c r="K11" i="2"/>
  <c r="K14" i="2" s="1"/>
  <c r="M11" i="2"/>
  <c r="M14" i="2" s="1"/>
  <c r="O11" i="2"/>
  <c r="O14" i="2" s="1"/>
  <c r="Q11" i="2"/>
  <c r="S11" i="2"/>
  <c r="S14" i="2" s="1"/>
  <c r="Q14" i="2"/>
  <c r="Q15" i="2" s="1"/>
  <c r="H15" i="2"/>
  <c r="H16" i="2"/>
  <c r="H17" i="2"/>
  <c r="H18" i="2"/>
  <c r="H27" i="2"/>
  <c r="H28" i="2"/>
  <c r="H29" i="2"/>
  <c r="H30" i="2"/>
  <c r="AE5" i="6"/>
  <c r="AE6" i="6"/>
  <c r="AE7" i="6"/>
  <c r="AE8" i="6"/>
  <c r="AE9" i="6"/>
  <c r="AE10" i="6"/>
  <c r="AE11" i="6"/>
  <c r="AE12" i="6"/>
  <c r="AE13" i="6"/>
  <c r="AC5" i="6"/>
  <c r="AC6" i="6"/>
  <c r="AC7" i="6"/>
  <c r="AC8" i="6"/>
  <c r="AC9" i="6"/>
  <c r="AC10" i="6"/>
  <c r="AC11" i="6"/>
  <c r="AC12" i="6"/>
  <c r="AC13" i="6"/>
  <c r="AA5" i="6"/>
  <c r="AA6" i="6"/>
  <c r="AA7" i="6"/>
  <c r="AA8" i="6"/>
  <c r="AA9" i="6"/>
  <c r="AA10" i="6"/>
  <c r="AA11" i="6"/>
  <c r="AA12" i="6"/>
  <c r="AA13" i="6"/>
  <c r="Y5" i="6"/>
  <c r="Y6" i="6"/>
  <c r="Y7" i="6"/>
  <c r="Y8" i="6"/>
  <c r="Y9" i="6"/>
  <c r="Y10" i="6"/>
  <c r="Y11" i="6"/>
  <c r="Y12" i="6"/>
  <c r="Y13" i="6"/>
  <c r="W5" i="6"/>
  <c r="W6" i="6"/>
  <c r="W7" i="6"/>
  <c r="W8" i="6"/>
  <c r="W9" i="6"/>
  <c r="W10" i="6"/>
  <c r="W11" i="6"/>
  <c r="W12" i="6"/>
  <c r="W13" i="6"/>
  <c r="U5" i="6"/>
  <c r="U6" i="6"/>
  <c r="U7" i="6"/>
  <c r="U8" i="6"/>
  <c r="U9" i="6"/>
  <c r="U10" i="6"/>
  <c r="U11" i="6"/>
  <c r="U12" i="6"/>
  <c r="U13" i="6"/>
  <c r="S5" i="6"/>
  <c r="S6" i="6"/>
  <c r="S7" i="6"/>
  <c r="S8" i="6"/>
  <c r="S9" i="6"/>
  <c r="S10" i="6"/>
  <c r="S11" i="6"/>
  <c r="S12" i="6"/>
  <c r="S13" i="6"/>
  <c r="Q5" i="6"/>
  <c r="Q6" i="6"/>
  <c r="Q7" i="6"/>
  <c r="Q8" i="6"/>
  <c r="Q9" i="6"/>
  <c r="Q10" i="6"/>
  <c r="Q11" i="6"/>
  <c r="Q12" i="6"/>
  <c r="Q13" i="6"/>
  <c r="O5" i="6"/>
  <c r="O6" i="6"/>
  <c r="O7" i="6"/>
  <c r="O8" i="6"/>
  <c r="O9" i="6"/>
  <c r="O10" i="6"/>
  <c r="O11" i="6"/>
  <c r="O12" i="6"/>
  <c r="O13" i="6"/>
  <c r="M5" i="6"/>
  <c r="M6" i="6"/>
  <c r="M7" i="6"/>
  <c r="M8" i="6"/>
  <c r="M9" i="6"/>
  <c r="M10" i="6"/>
  <c r="M11" i="6"/>
  <c r="M12" i="6"/>
  <c r="M13" i="6"/>
  <c r="K5" i="6"/>
  <c r="K6" i="6"/>
  <c r="K7" i="6"/>
  <c r="K8" i="6"/>
  <c r="K9" i="6"/>
  <c r="K10" i="6"/>
  <c r="K11" i="6"/>
  <c r="K12" i="6"/>
  <c r="K13" i="6"/>
  <c r="H26" i="2" l="1"/>
  <c r="H25" i="2"/>
  <c r="H24" i="2"/>
  <c r="H23" i="2"/>
  <c r="H22" i="2"/>
  <c r="H33" i="2"/>
  <c r="H32" i="2"/>
  <c r="H20" i="2"/>
  <c r="H21" i="2"/>
  <c r="H31" i="2"/>
  <c r="Q23" i="2"/>
  <c r="Q29" i="2"/>
  <c r="Q18" i="2"/>
  <c r="Q33" i="2"/>
  <c r="Q24" i="2"/>
  <c r="R15" i="2"/>
  <c r="Q28" i="2"/>
  <c r="Q30" i="2"/>
  <c r="Q25" i="2"/>
  <c r="K28" i="2"/>
  <c r="K33" i="2"/>
  <c r="K31" i="2"/>
  <c r="Q22" i="2"/>
  <c r="Q27" i="2"/>
  <c r="Q32" i="2"/>
  <c r="Q21" i="2"/>
  <c r="Q31" i="2"/>
  <c r="Q26" i="2"/>
  <c r="T32" i="2"/>
  <c r="S32" i="2"/>
  <c r="S33" i="2"/>
  <c r="O16" i="2"/>
  <c r="O18" i="2"/>
  <c r="O22" i="2"/>
  <c r="O26" i="2"/>
  <c r="O23" i="2"/>
  <c r="O31" i="2"/>
  <c r="O20" i="2"/>
  <c r="O24" i="2"/>
  <c r="O25" i="2"/>
  <c r="O27" i="2"/>
  <c r="O28" i="2"/>
  <c r="O21" i="2"/>
  <c r="O19" i="2"/>
  <c r="O32" i="2"/>
  <c r="M32" i="2"/>
  <c r="Q17" i="2"/>
  <c r="L18" i="2"/>
  <c r="K32" i="2"/>
  <c r="Q16" i="2"/>
  <c r="Q20" i="2"/>
  <c r="K15" i="2"/>
  <c r="Q19" i="2"/>
  <c r="R32" i="2"/>
  <c r="M31" i="2"/>
  <c r="N26" i="2"/>
  <c r="N28" i="2"/>
  <c r="N31" i="2"/>
  <c r="N32" i="2"/>
  <c r="N15" i="2"/>
  <c r="N33" i="2"/>
  <c r="N24" i="2"/>
  <c r="N20" i="2"/>
  <c r="N23" i="2"/>
  <c r="N17" i="2"/>
  <c r="N30" i="2"/>
  <c r="N22" i="2"/>
  <c r="N21" i="2"/>
  <c r="N25" i="2"/>
  <c r="N16" i="2"/>
  <c r="N18" i="2"/>
  <c r="N19" i="2"/>
  <c r="N27" i="2"/>
  <c r="N29" i="2"/>
  <c r="I26" i="2"/>
  <c r="I29" i="2"/>
  <c r="I15" i="2"/>
  <c r="I22" i="2"/>
  <c r="I24" i="2"/>
  <c r="I20" i="2"/>
  <c r="I21" i="2"/>
  <c r="I23" i="2"/>
  <c r="I25" i="2"/>
  <c r="I18" i="2"/>
  <c r="I19" i="2"/>
  <c r="I27" i="2"/>
  <c r="I28" i="2"/>
  <c r="I16" i="2"/>
  <c r="I17" i="2"/>
  <c r="I30" i="2"/>
  <c r="I31" i="2"/>
  <c r="I32" i="2"/>
  <c r="I33" i="2"/>
  <c r="G22" i="2"/>
  <c r="G24" i="2"/>
  <c r="G15" i="2"/>
  <c r="G20" i="2"/>
  <c r="G21" i="2"/>
  <c r="G23" i="2"/>
  <c r="G25" i="2"/>
  <c r="G26" i="2"/>
  <c r="G32" i="2"/>
  <c r="G18" i="2"/>
  <c r="G19" i="2"/>
  <c r="G27" i="2"/>
  <c r="G28" i="2"/>
  <c r="G16" i="2"/>
  <c r="G17" i="2"/>
  <c r="G29" i="2"/>
  <c r="G30" i="2"/>
  <c r="G31" i="2"/>
  <c r="G33" i="2"/>
  <c r="M29" i="2"/>
  <c r="M17" i="2"/>
  <c r="M16" i="2"/>
  <c r="M27" i="2"/>
  <c r="M19" i="2"/>
  <c r="K29" i="2"/>
  <c r="M23" i="2"/>
  <c r="K27" i="2"/>
  <c r="M24" i="2"/>
  <c r="K18" i="2"/>
  <c r="K26" i="2"/>
  <c r="K25" i="2"/>
  <c r="K23" i="2"/>
  <c r="K21" i="2"/>
  <c r="K24" i="2"/>
  <c r="K22" i="2"/>
  <c r="S31" i="2"/>
  <c r="S30" i="2"/>
  <c r="S29" i="2"/>
  <c r="S28" i="2"/>
  <c r="S16" i="2"/>
  <c r="M30" i="2"/>
  <c r="K30" i="2"/>
  <c r="M26" i="2"/>
  <c r="M20" i="2"/>
  <c r="K17" i="2"/>
  <c r="K19" i="2"/>
  <c r="K20" i="2"/>
  <c r="O33" i="2"/>
  <c r="S27" i="2"/>
  <c r="S26" i="2"/>
  <c r="S18" i="2"/>
  <c r="O15" i="2"/>
  <c r="M25" i="2"/>
  <c r="M28" i="2"/>
  <c r="M18" i="2"/>
  <c r="M21" i="2"/>
  <c r="K16" i="2"/>
  <c r="M22" i="2"/>
  <c r="S25" i="2"/>
  <c r="S24" i="2"/>
  <c r="S22" i="2"/>
  <c r="S20" i="2"/>
  <c r="M33" i="2"/>
  <c r="O30" i="2"/>
  <c r="O29" i="2"/>
  <c r="R24" i="2"/>
  <c r="O17" i="2"/>
  <c r="M15" i="2"/>
  <c r="C29" i="2"/>
  <c r="C27" i="2"/>
  <c r="C25" i="2"/>
  <c r="C33" i="2"/>
  <c r="C23" i="2"/>
  <c r="C32" i="2"/>
  <c r="C31" i="2"/>
  <c r="F18" i="2"/>
  <c r="F20" i="2"/>
  <c r="F16" i="2"/>
  <c r="F22" i="2"/>
  <c r="F17" i="2"/>
  <c r="F19" i="2"/>
  <c r="F21" i="2"/>
  <c r="F23" i="2"/>
  <c r="F25" i="2"/>
  <c r="F27" i="2"/>
  <c r="F29" i="2"/>
  <c r="F31" i="2"/>
  <c r="F33" i="2"/>
  <c r="F32" i="2"/>
  <c r="F28" i="2"/>
  <c r="F26" i="2"/>
  <c r="F24" i="2"/>
  <c r="F30" i="2"/>
  <c r="T24" i="2"/>
  <c r="T26" i="2"/>
  <c r="T27" i="2"/>
  <c r="T33" i="2"/>
  <c r="E32" i="2"/>
  <c r="E30" i="2"/>
  <c r="E28" i="2"/>
  <c r="E26" i="2"/>
  <c r="E24" i="2"/>
  <c r="E22" i="2"/>
  <c r="E20" i="2"/>
  <c r="E18" i="2"/>
  <c r="E16" i="2"/>
  <c r="C14" i="2"/>
  <c r="C30" i="2"/>
  <c r="C28" i="2"/>
  <c r="C26" i="2"/>
  <c r="C24" i="2"/>
  <c r="C22" i="2"/>
  <c r="C20" i="2"/>
  <c r="C18" i="2"/>
  <c r="C16" i="2"/>
  <c r="R20" i="2"/>
  <c r="R18" i="2"/>
  <c r="S23" i="2"/>
  <c r="S21" i="2"/>
  <c r="S19" i="2"/>
  <c r="S17" i="2"/>
  <c r="S15" i="2"/>
  <c r="R27" i="2"/>
  <c r="R25" i="2"/>
  <c r="R23" i="2"/>
  <c r="R21" i="2"/>
  <c r="R19" i="2"/>
  <c r="E33" i="2"/>
  <c r="E31" i="2"/>
  <c r="E29" i="2"/>
  <c r="E27" i="2"/>
  <c r="E25" i="2"/>
  <c r="E23" i="2"/>
  <c r="E21" i="2"/>
  <c r="E19" i="2"/>
  <c r="E17" i="2"/>
  <c r="E15" i="2"/>
  <c r="C21" i="2"/>
  <c r="C19" i="2"/>
  <c r="C17" i="2"/>
  <c r="I5" i="6"/>
  <c r="I6" i="6"/>
  <c r="I7" i="6"/>
  <c r="I8" i="6"/>
  <c r="I9" i="6"/>
  <c r="I10" i="6"/>
  <c r="I11" i="6"/>
  <c r="I12" i="6"/>
  <c r="I13" i="6"/>
  <c r="T22" i="2" l="1"/>
  <c r="T20" i="2"/>
  <c r="T25" i="2"/>
  <c r="T30" i="2"/>
  <c r="T28" i="2"/>
  <c r="R29" i="2"/>
  <c r="R31" i="2"/>
  <c r="R33" i="2"/>
  <c r="R30" i="2"/>
  <c r="R16" i="2"/>
  <c r="R26" i="2"/>
  <c r="R28" i="2"/>
  <c r="R17" i="2"/>
  <c r="R22" i="2"/>
  <c r="L20" i="2"/>
  <c r="L29" i="2"/>
  <c r="L28" i="2"/>
  <c r="L21" i="2"/>
  <c r="L30" i="2"/>
  <c r="L25" i="2"/>
  <c r="L23" i="2"/>
  <c r="L26" i="2"/>
  <c r="L22" i="2"/>
  <c r="L19" i="2"/>
  <c r="L17" i="2"/>
  <c r="L24" i="2"/>
  <c r="L27" i="2"/>
  <c r="T31" i="2"/>
  <c r="T29" i="2"/>
  <c r="T18" i="2"/>
  <c r="T16" i="2"/>
  <c r="T23" i="2"/>
  <c r="T21" i="2"/>
  <c r="T15" i="2"/>
  <c r="L16" i="2"/>
  <c r="L33" i="2"/>
  <c r="L32" i="2"/>
  <c r="L15" i="2"/>
  <c r="L31" i="2"/>
  <c r="T19" i="2"/>
  <c r="T17" i="2"/>
  <c r="J16" i="2"/>
  <c r="J31" i="2"/>
  <c r="J33" i="2"/>
  <c r="J30" i="2"/>
  <c r="J22" i="2"/>
  <c r="J24" i="2"/>
  <c r="J20" i="2"/>
  <c r="J21" i="2"/>
  <c r="J23" i="2"/>
  <c r="J25" i="2"/>
  <c r="J26" i="2"/>
  <c r="J18" i="2"/>
  <c r="J19" i="2"/>
  <c r="J27" i="2"/>
  <c r="J28" i="2"/>
  <c r="J17" i="2"/>
  <c r="J29" i="2"/>
  <c r="J32" i="2"/>
  <c r="P18" i="2"/>
  <c r="P19" i="2"/>
  <c r="P27" i="2"/>
  <c r="P28" i="2"/>
  <c r="P16" i="2"/>
  <c r="P17" i="2"/>
  <c r="P29" i="2"/>
  <c r="P30" i="2"/>
  <c r="P24" i="2"/>
  <c r="P26" i="2"/>
  <c r="P31" i="2"/>
  <c r="P32" i="2"/>
  <c r="P22" i="2"/>
  <c r="P15" i="2"/>
  <c r="P33" i="2"/>
  <c r="P20" i="2"/>
  <c r="P21" i="2"/>
  <c r="P23" i="2"/>
  <c r="P25" i="2"/>
  <c r="D17" i="2"/>
  <c r="D19" i="2"/>
  <c r="D21" i="2"/>
  <c r="D23" i="2"/>
  <c r="D25" i="2"/>
  <c r="D27" i="2"/>
  <c r="D29" i="2"/>
  <c r="D31" i="2"/>
  <c r="D33" i="2"/>
  <c r="D16" i="2"/>
  <c r="D18" i="2"/>
  <c r="D20" i="2"/>
  <c r="D22" i="2"/>
  <c r="D24" i="2"/>
  <c r="D26" i="2"/>
  <c r="D28" i="2"/>
  <c r="D30" i="2"/>
  <c r="D32" i="2"/>
  <c r="AF11" i="6"/>
  <c r="AF5" i="6"/>
  <c r="AF12" i="6"/>
  <c r="AF13" i="6"/>
  <c r="AF7" i="6"/>
  <c r="AF6" i="6"/>
  <c r="AF8" i="6"/>
  <c r="AF9" i="6"/>
  <c r="AF10" i="6"/>
  <c r="AF14" i="6" l="1"/>
  <c r="H44" i="2"/>
  <c r="H43" i="2"/>
  <c r="H42" i="2"/>
  <c r="H41" i="2"/>
  <c r="H40" i="2"/>
  <c r="H39" i="2"/>
  <c r="H38" i="2"/>
  <c r="H37" i="2"/>
  <c r="H36" i="2"/>
  <c r="H35" i="2"/>
  <c r="H34" i="2"/>
  <c r="C36" i="2" l="1"/>
  <c r="C40" i="2"/>
  <c r="C44" i="2"/>
  <c r="C35" i="2"/>
  <c r="C39" i="2"/>
  <c r="C43" i="2"/>
  <c r="C34" i="2"/>
  <c r="C42" i="2"/>
  <c r="C38" i="2"/>
  <c r="C37" i="2"/>
  <c r="C41" i="2"/>
  <c r="E42" i="2" l="1"/>
  <c r="E36" i="2"/>
  <c r="E40" i="2"/>
  <c r="E44" i="2"/>
  <c r="E38" i="2"/>
  <c r="E34" i="2"/>
  <c r="E35" i="2"/>
  <c r="E39" i="2"/>
  <c r="E43" i="2"/>
  <c r="E37" i="2"/>
  <c r="E41" i="2"/>
  <c r="K37" i="2"/>
  <c r="K41" i="2"/>
  <c r="K35" i="2"/>
  <c r="K43" i="2"/>
  <c r="K36" i="2"/>
  <c r="K40" i="2"/>
  <c r="K44" i="2"/>
  <c r="K39" i="2"/>
  <c r="K34" i="2"/>
  <c r="K38" i="2"/>
  <c r="K42" i="2"/>
  <c r="Q40" i="2"/>
  <c r="Q34" i="2"/>
  <c r="Q38" i="2"/>
  <c r="Q42" i="2"/>
  <c r="Q44" i="2"/>
  <c r="Q36" i="2"/>
  <c r="Q37" i="2"/>
  <c r="Q41" i="2"/>
  <c r="Q35" i="2"/>
  <c r="Q39" i="2"/>
  <c r="Q43" i="2"/>
  <c r="G37" i="2"/>
  <c r="G41" i="2"/>
  <c r="G43" i="2"/>
  <c r="G39" i="2"/>
  <c r="G36" i="2"/>
  <c r="G40" i="2"/>
  <c r="G44" i="2"/>
  <c r="G35" i="2"/>
  <c r="G34" i="2"/>
  <c r="G38" i="2"/>
  <c r="G42" i="2"/>
  <c r="M34" i="2"/>
  <c r="M38" i="2"/>
  <c r="M42" i="2"/>
  <c r="M37" i="2"/>
  <c r="M41" i="2"/>
  <c r="M36" i="2"/>
  <c r="M40" i="2"/>
  <c r="M44" i="2"/>
  <c r="M35" i="2"/>
  <c r="M39" i="2"/>
  <c r="M43" i="2"/>
  <c r="I43" i="2"/>
  <c r="I37" i="2"/>
  <c r="I41" i="2"/>
  <c r="I39" i="2"/>
  <c r="I36" i="2"/>
  <c r="I40" i="2"/>
  <c r="I44" i="2"/>
  <c r="I35" i="2"/>
  <c r="I34" i="2"/>
  <c r="I38" i="2"/>
  <c r="I42" i="2"/>
  <c r="S35" i="2"/>
  <c r="S39" i="2"/>
  <c r="S43" i="2"/>
  <c r="S37" i="2"/>
  <c r="S34" i="2"/>
  <c r="S38" i="2"/>
  <c r="S42" i="2"/>
  <c r="S41" i="2"/>
  <c r="S36" i="2"/>
  <c r="S40" i="2"/>
  <c r="S44" i="2"/>
  <c r="O34" i="2"/>
  <c r="O38" i="2"/>
  <c r="O42" i="2"/>
  <c r="O40" i="2"/>
  <c r="O44" i="2"/>
  <c r="O37" i="2"/>
  <c r="O41" i="2"/>
  <c r="O36" i="2"/>
  <c r="O35" i="2"/>
  <c r="O39" i="2"/>
  <c r="O43" i="2"/>
  <c r="D40" i="2"/>
  <c r="D38" i="2"/>
  <c r="D37" i="2"/>
  <c r="D36" i="2"/>
  <c r="D35" i="2"/>
  <c r="D44" i="2"/>
  <c r="D41" i="2"/>
  <c r="D39" i="2"/>
  <c r="D34" i="2"/>
  <c r="D43" i="2"/>
  <c r="D42" i="2"/>
  <c r="N34" i="2" l="1"/>
  <c r="N44" i="2"/>
  <c r="N43" i="2"/>
  <c r="N42" i="2"/>
  <c r="N41" i="2"/>
  <c r="N40" i="2"/>
  <c r="N37" i="2"/>
  <c r="N36" i="2"/>
  <c r="N35" i="2"/>
  <c r="N39" i="2"/>
  <c r="N38" i="2"/>
  <c r="P40" i="2"/>
  <c r="P39" i="2"/>
  <c r="P38" i="2"/>
  <c r="P37" i="2"/>
  <c r="P36" i="2"/>
  <c r="P35" i="2"/>
  <c r="P34" i="2"/>
  <c r="P42" i="2"/>
  <c r="P44" i="2"/>
  <c r="P43" i="2"/>
  <c r="P41" i="2"/>
  <c r="J35" i="2"/>
  <c r="J34" i="2"/>
  <c r="J44" i="2"/>
  <c r="J43" i="2"/>
  <c r="J41" i="2"/>
  <c r="J42" i="2"/>
  <c r="J40" i="2"/>
  <c r="J38" i="2"/>
  <c r="J39" i="2"/>
  <c r="J37" i="2"/>
  <c r="J36" i="2"/>
  <c r="T40" i="2"/>
  <c r="T39" i="2"/>
  <c r="T38" i="2"/>
  <c r="T37" i="2"/>
  <c r="T36" i="2"/>
  <c r="T35" i="2"/>
  <c r="T34" i="2"/>
  <c r="T44" i="2"/>
  <c r="T43" i="2"/>
  <c r="T42" i="2"/>
  <c r="T41" i="2"/>
  <c r="F34" i="2"/>
  <c r="F44" i="2"/>
  <c r="F43" i="2"/>
  <c r="F42" i="2"/>
  <c r="F41" i="2"/>
  <c r="F37" i="2"/>
  <c r="F35" i="2"/>
  <c r="F40" i="2"/>
  <c r="F39" i="2"/>
  <c r="F38" i="2"/>
  <c r="F36" i="2"/>
  <c r="R34" i="2"/>
  <c r="R44" i="2"/>
  <c r="R43" i="2"/>
  <c r="R42" i="2"/>
  <c r="R41" i="2"/>
  <c r="R40" i="2"/>
  <c r="R39" i="2"/>
  <c r="R38" i="2"/>
  <c r="R37" i="2"/>
  <c r="R36" i="2"/>
  <c r="R35" i="2"/>
  <c r="L40" i="2"/>
  <c r="L39" i="2"/>
  <c r="L38" i="2"/>
  <c r="L37" i="2"/>
  <c r="L36" i="2"/>
  <c r="L35" i="2"/>
  <c r="L34" i="2"/>
  <c r="L43" i="2"/>
  <c r="L41" i="2"/>
  <c r="L42" i="2"/>
  <c r="L44" i="2"/>
  <c r="AG14" i="6" l="1"/>
  <c r="AI8" i="6" l="1"/>
  <c r="AI9" i="6"/>
  <c r="AK7" i="6"/>
  <c r="AK13" i="6"/>
  <c r="AJ6" i="6"/>
  <c r="AJ12" i="6"/>
  <c r="AI13" i="6"/>
  <c r="AK8" i="6"/>
  <c r="AI6" i="6"/>
  <c r="AJ11" i="6"/>
  <c r="AJ8" i="6"/>
  <c r="AK11" i="6"/>
  <c r="AJ7" i="6"/>
  <c r="AJ9" i="6"/>
  <c r="AI10" i="6"/>
  <c r="AK9" i="6"/>
  <c r="AK10" i="6"/>
  <c r="AI7" i="6"/>
  <c r="AJ5" i="6"/>
  <c r="AI12" i="6"/>
  <c r="AK5" i="6"/>
  <c r="AI11" i="6"/>
  <c r="AJ13" i="6"/>
  <c r="AJ10" i="6"/>
  <c r="AI5" i="6"/>
  <c r="AK12" i="6"/>
  <c r="AK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Elkins, Brooke</author>
  </authors>
  <commentList>
    <comment ref="AO4" authorId="0" shapeId="0" xr:uid="{91D22860-FBCF-40E5-A9CE-79AD9C78C90A}">
      <text>
        <r>
          <rPr>
            <b/>
            <sz val="9"/>
            <color indexed="81"/>
            <rFont val="Tahoma"/>
            <family val="2"/>
          </rPr>
          <t xml:space="preserve">EXAMPLE:
</t>
        </r>
        <r>
          <rPr>
            <sz val="9"/>
            <color indexed="81"/>
            <rFont val="Tahoma"/>
            <family val="2"/>
          </rPr>
          <t xml:space="preserve">R.0027166.6.363
</t>
        </r>
      </text>
    </comment>
  </commentList>
</comments>
</file>

<file path=xl/sharedStrings.xml><?xml version="1.0" encoding="utf-8"?>
<sst xmlns="http://schemas.openxmlformats.org/spreadsheetml/2006/main" count="162" uniqueCount="89">
  <si>
    <r>
      <t xml:space="preserve"> AEOP: Undergraduate Student Stipend 
</t>
    </r>
    <r>
      <rPr>
        <b/>
        <sz val="14"/>
        <color rgb="FFFF0000"/>
        <rFont val="Calibri"/>
        <family val="2"/>
        <scheme val="minor"/>
      </rPr>
      <t>BUDGET ESTIMATOR</t>
    </r>
  </si>
  <si>
    <t xml:space="preserve">This table is to be used as a guide for estimating purposes only.  Values represent cost according to number of days highlighted in yellow and weeks.  </t>
  </si>
  <si>
    <t>Basic Rate: Standard rate that applies to all students unless they qualify for a higher rate in accordance with criteria below.
Mid-Level Rate: Available to students that possess either extensive prior work experience related to the assignment (as determined by mentor) OR high academic achievement (3.5 GPA or above)
High-Level Rate: Available to students that possess BOTH extensive prior work/lab experience related to the assignment (as determined by mentor) AND high academic achievement (3.5 GPA or above)</t>
  </si>
  <si>
    <t>ALC/APG = 33.94%</t>
  </si>
  <si>
    <t>WSMR =18.33%</t>
  </si>
  <si>
    <t>ARL Northeast - Boston, MA = 32.58%</t>
  </si>
  <si>
    <t>ARL Central - Chicago, IL = 30.86%</t>
  </si>
  <si>
    <t>Research Triangle Research = 22.24%</t>
  </si>
  <si>
    <t>ARL WEST - Playa Vista, CA = 36.47%</t>
  </si>
  <si>
    <t>ARL South - Austin, TX  =20.35%</t>
  </si>
  <si>
    <t>Full Time Participation
(40 hrs/wk)</t>
  </si>
  <si>
    <t>Undergraduate ≤ 29 semester credit hours</t>
  </si>
  <si>
    <t>Undergraduate 30-74 semester credit hours</t>
  </si>
  <si>
    <t>Undergraduate 75+ semester credit hours</t>
  </si>
  <si>
    <t>Base Stipend 
(GS 2/4)</t>
  </si>
  <si>
    <t>Mid-Level Stipend 
(GS 2/7)</t>
  </si>
  <si>
    <t>High-Level Stipend 
(GS 2/8)</t>
  </si>
  <si>
    <t>Base Stipend 
(GS 3/4)</t>
  </si>
  <si>
    <t>Mid-Level Stipend 
(GS 3/7)</t>
  </si>
  <si>
    <t>High-Level Stipend 
(GS 3/9)</t>
  </si>
  <si>
    <t>Base Stipend 
(GS 4/5)</t>
  </si>
  <si>
    <t>Mid-Level Stipend 
(GS 4/7)</t>
  </si>
  <si>
    <t>High-Level Stipend 
(GS 4/9)</t>
  </si>
  <si>
    <t>To view calculations for locations other than APG/ALC, replace the 33.94%  (cell B12) with the appropriate OPM locality rate for the selected region.</t>
  </si>
  <si>
    <t>Standard rate that applies to all students unless they qualify for a higher rate in accordance with criteria for Mid/High-Level stipend</t>
  </si>
  <si>
    <r>
      <t xml:space="preserve">Students must possess </t>
    </r>
    <r>
      <rPr>
        <b/>
        <i/>
        <sz val="10"/>
        <rFont val="Calibri Light"/>
        <family val="2"/>
      </rPr>
      <t>either</t>
    </r>
    <r>
      <rPr>
        <i/>
        <sz val="10"/>
        <rFont val="Calibri Light"/>
        <family val="2"/>
      </rPr>
      <t xml:space="preserve"> (A) Extensive prior experience related to the assignment (as determined by mentor) </t>
    </r>
    <r>
      <rPr>
        <b/>
        <i/>
        <sz val="10"/>
        <rFont val="Calibri Light"/>
        <family val="2"/>
      </rPr>
      <t>OR</t>
    </r>
    <r>
      <rPr>
        <i/>
        <sz val="10"/>
        <rFont val="Calibri Light"/>
        <family val="2"/>
      </rPr>
      <t xml:space="preserve"> (B) High academic achievement (3.5 GPA or above)</t>
    </r>
  </si>
  <si>
    <r>
      <t xml:space="preserve">Students that possess </t>
    </r>
    <r>
      <rPr>
        <b/>
        <i/>
        <sz val="10"/>
        <rFont val="Calibri Light"/>
        <family val="2"/>
      </rPr>
      <t>BOTH</t>
    </r>
    <r>
      <rPr>
        <i/>
        <sz val="10"/>
        <rFont val="Calibri Light"/>
        <family val="2"/>
      </rPr>
      <t xml:space="preserve"> (A) Extensive prior experience related to the assignment (as determined by mentor) </t>
    </r>
    <r>
      <rPr>
        <b/>
        <i/>
        <sz val="10"/>
        <rFont val="Calibri Light"/>
        <family val="2"/>
      </rPr>
      <t>AND</t>
    </r>
    <r>
      <rPr>
        <i/>
        <sz val="10"/>
        <rFont val="Calibri Light"/>
        <family val="2"/>
      </rPr>
      <t xml:space="preserve"> (B) High academic achievement (3.5 GPA or above)</t>
    </r>
  </si>
  <si>
    <r>
      <rPr>
        <b/>
        <u/>
        <sz val="12"/>
        <color theme="1"/>
        <rFont val="Calibri"/>
        <family val="2"/>
        <scheme val="minor"/>
      </rPr>
      <t>Base Equivalent</t>
    </r>
    <r>
      <rPr>
        <b/>
        <sz val="12"/>
        <color theme="1"/>
        <rFont val="Calibri"/>
        <family val="2"/>
        <scheme val="minor"/>
      </rPr>
      <t xml:space="preserve"> Annual Stipend 
NO LOCALITY</t>
    </r>
  </si>
  <si>
    <t>Equivalent Annual Stipend</t>
  </si>
  <si>
    <r>
      <t xml:space="preserve">with locality of:  </t>
    </r>
    <r>
      <rPr>
        <b/>
        <sz val="12"/>
        <color rgb="FFFF0000"/>
        <rFont val="Calibri"/>
        <family val="2"/>
        <scheme val="minor"/>
      </rPr>
      <t xml:space="preserve">ALC/APG </t>
    </r>
  </si>
  <si>
    <t>Estimated Stipend Total:</t>
  </si>
  <si>
    <t>Raw Cost</t>
  </si>
  <si>
    <t>Daily Rate</t>
  </si>
  <si>
    <t xml:space="preserve">Raw Cost </t>
  </si>
  <si>
    <t xml:space="preserve"># of days: </t>
  </si>
  <si>
    <t># of days:</t>
  </si>
  <si>
    <t>CQL standards:</t>
  </si>
  <si>
    <t>Each locality will be adjusted for that region's OPM locality rate.</t>
  </si>
  <si>
    <t>FY 25 AEOP Undergraduate Apprentice Program Worksheet</t>
  </si>
  <si>
    <t>Division: Electromagnetic Spectrum Sciences Division</t>
  </si>
  <si>
    <r>
      <rPr>
        <sz val="12"/>
        <color rgb="FFFF0000"/>
        <rFont val="Calibri"/>
        <family val="2"/>
      </rPr>
      <t>PR No:</t>
    </r>
    <r>
      <rPr>
        <b/>
        <sz val="12"/>
        <color rgb="FFFF0000"/>
        <rFont val="Calibri"/>
        <family val="2"/>
      </rPr>
      <t xml:space="preserve"> </t>
    </r>
  </si>
  <si>
    <t xml:space="preserve">Cabinet No: </t>
  </si>
  <si>
    <t>JAN (21)</t>
  </si>
  <si>
    <t>FEB (20)</t>
  </si>
  <si>
    <t>MAR (21)</t>
  </si>
  <si>
    <t>APR (21)</t>
  </si>
  <si>
    <t>MAY (22)</t>
  </si>
  <si>
    <t xml:space="preserve"> JUN (19)</t>
  </si>
  <si>
    <t>JUL (22)</t>
  </si>
  <si>
    <t>AUG (22)</t>
  </si>
  <si>
    <t>SEP (20)</t>
  </si>
  <si>
    <t>OCT (22)</t>
  </si>
  <si>
    <t>NOV (19)</t>
  </si>
  <si>
    <t>DEC (20)</t>
  </si>
  <si>
    <t>Last Name</t>
  </si>
  <si>
    <t>First Name</t>
  </si>
  <si>
    <t>Student Email Address</t>
  </si>
  <si>
    <t>Has the student worked in FY24?</t>
  </si>
  <si>
    <t>Appointment
Start Date</t>
  </si>
  <si>
    <t>Appointment
End Date</t>
  </si>
  <si>
    <t xml:space="preserve">Daily Rate </t>
  </si>
  <si>
    <t># Days</t>
  </si>
  <si>
    <t>Stipend</t>
  </si>
  <si>
    <t>Appointment Stipend</t>
  </si>
  <si>
    <t xml:space="preserve">Relocation Funding </t>
  </si>
  <si>
    <t xml:space="preserve">Housing Funding </t>
  </si>
  <si>
    <t>Travel Funding (Confrences &amp; Field Test)</t>
  </si>
  <si>
    <t xml:space="preserve">Tuition Support </t>
  </si>
  <si>
    <t xml:space="preserve">Equipment Funding </t>
  </si>
  <si>
    <t>Advisor Name</t>
  </si>
  <si>
    <t>Advisor Email</t>
  </si>
  <si>
    <t>Branch</t>
  </si>
  <si>
    <t>Research Location</t>
  </si>
  <si>
    <t>WBS #</t>
  </si>
  <si>
    <t>Comments</t>
  </si>
  <si>
    <t>David McNamara</t>
  </si>
  <si>
    <t>david.m.mcnamara3.civ@army.mil</t>
  </si>
  <si>
    <t>FCDD-RLA-LC</t>
  </si>
  <si>
    <t>ALC</t>
  </si>
  <si>
    <t>R.0062894.4969.2</t>
  </si>
  <si>
    <t>Ramakrishna</t>
  </si>
  <si>
    <t>Pratheek</t>
  </si>
  <si>
    <t>pratheek.ramakrin@gmail.com</t>
  </si>
  <si>
    <t>No</t>
  </si>
  <si>
    <t>TOTALS:</t>
  </si>
  <si>
    <t>STIPENDS</t>
  </si>
  <si>
    <t>Relocation</t>
  </si>
  <si>
    <t>Housing</t>
  </si>
  <si>
    <t>TOTAL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</si>
</sst>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m/d/yy;@"/>
    <numFmt numFmtId="167" formatCode="_([$$-409]* #,##0.00_);_([$$-409]* \(#,##0.00\);_([$$-409]* &quot;-&quot;??_);_(@_)"/>
  </numFmts>
  <fonts count="51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0"/>
      <name val="Calibri Light"/>
      <family val="2"/>
    </font>
    <font>
      <i/>
      <sz val="10"/>
      <color theme="1"/>
      <name val="Calibri Light"/>
      <family val="2"/>
    </font>
    <font>
      <b/>
      <i/>
      <sz val="10"/>
      <name val="Calibri Light"/>
      <family val="2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2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6"/>
      <color rgb="FFFF0000"/>
      <name val="Calibri"/>
      <family val="2"/>
    </font>
    <font>
      <i/>
      <sz val="12"/>
      <color rgb="FFFF0000"/>
      <name val="Calibri Light"/>
      <family val="2"/>
    </font>
    <font>
      <i/>
      <sz val="12"/>
      <color theme="1"/>
      <name val="Calibri Light"/>
      <family val="2"/>
    </font>
    <font>
      <sz val="14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i/>
      <sz val="9"/>
      <color theme="1" tint="0.499984740745262"/>
      <name val="Calibri Light"/>
      <family val="2"/>
    </font>
    <font>
      <b/>
      <sz val="10"/>
      <name val="Calibri"/>
      <family val="2"/>
      <scheme val="minor"/>
    </font>
    <font>
      <i/>
      <sz val="10"/>
      <color theme="1" tint="0.499984740745262"/>
      <name val="Calibri Light"/>
      <family val="2"/>
    </font>
    <font>
      <sz val="10"/>
      <color theme="0"/>
      <name val="Calibri"/>
      <family val="2"/>
      <scheme val="minor"/>
    </font>
    <font>
      <sz val="10"/>
      <name val="Calibri Light"/>
      <family val="2"/>
    </font>
    <font>
      <sz val="10"/>
      <name val="Calibri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9"/>
      <color theme="1"/>
      <name val="Calibri Light"/>
      <family val="2"/>
    </font>
    <font>
      <b/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467ABA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lightUp">
        <fgColor theme="0" tint="-4.9989318521683403E-2"/>
        <bgColor indexed="65"/>
      </patternFill>
    </fill>
    <fill>
      <patternFill patternType="solid">
        <fgColor rgb="FFFFFF99"/>
        <bgColor indexed="64"/>
      </patternFill>
    </fill>
    <fill>
      <patternFill patternType="lightTrellis">
        <fgColor theme="0" tint="-0.24994659260841701"/>
        <bgColor indexed="65"/>
      </patternFill>
    </fill>
    <fill>
      <patternFill patternType="lightTrellis">
        <fgColor theme="0" tint="-0.24994659260841701"/>
        <bgColor theme="4" tint="0.79998168889431442"/>
      </patternFill>
    </fill>
    <fill>
      <patternFill patternType="lightTrellis">
        <fgColor theme="0" tint="-0.24994659260841701"/>
        <bgColor theme="4" tint="0.59999389629810485"/>
      </patternFill>
    </fill>
    <fill>
      <patternFill patternType="lightTrellis">
        <fgColor theme="0" tint="-0.24994659260841701"/>
        <bgColor theme="4" tint="0.39997558519241921"/>
      </patternFill>
    </fill>
    <fill>
      <patternFill patternType="lightTrellis">
        <fgColor theme="0" tint="-0.24994659260841701"/>
        <bgColor theme="6" tint="0.79998168889431442"/>
      </patternFill>
    </fill>
    <fill>
      <patternFill patternType="lightTrellis">
        <fgColor theme="0" tint="-0.24994659260841701"/>
        <bgColor theme="6" tint="0.59999389629810485"/>
      </patternFill>
    </fill>
    <fill>
      <patternFill patternType="lightTrellis">
        <fgColor theme="0" tint="-0.24994659260841701"/>
        <bgColor theme="6" tint="0.39997558519241921"/>
      </patternFill>
    </fill>
    <fill>
      <patternFill patternType="lightTrellis">
        <fgColor theme="0" tint="-0.24994659260841701"/>
        <bgColor theme="8" tint="0.79998168889431442"/>
      </patternFill>
    </fill>
    <fill>
      <patternFill patternType="lightTrellis">
        <fgColor theme="0" tint="-0.24994659260841701"/>
        <bgColor theme="8" tint="0.59999389629810485"/>
      </patternFill>
    </fill>
    <fill>
      <patternFill patternType="lightTrellis">
        <fgColor theme="0" tint="-0.24994659260841701"/>
        <bgColor theme="8" tint="0.399975585192419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1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/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double">
        <color theme="4" tint="-0.249977111117893"/>
      </top>
      <bottom style="double">
        <color theme="4" tint="-0.249977111117893"/>
      </bottom>
      <diagonal/>
    </border>
    <border>
      <left/>
      <right style="thin">
        <color theme="4" tint="-0.249977111117893"/>
      </right>
      <top style="double">
        <color theme="4" tint="-0.249977111117893"/>
      </top>
      <bottom style="double">
        <color theme="4" tint="-0.249977111117893"/>
      </bottom>
      <diagonal/>
    </border>
    <border>
      <left/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4" tint="-0.249977111117893"/>
      </left>
      <right/>
      <top style="double">
        <color theme="6" tint="-0.249977111117893"/>
      </top>
      <bottom style="double">
        <color theme="6" tint="-0.249977111117893"/>
      </bottom>
      <diagonal/>
    </border>
    <border>
      <left/>
      <right style="thin">
        <color theme="6" tint="-0.249977111117893"/>
      </right>
      <top style="double">
        <color theme="6" tint="-0.249977111117893"/>
      </top>
      <bottom style="double">
        <color theme="6" tint="-0.249977111117893"/>
      </bottom>
      <diagonal/>
    </border>
    <border>
      <left style="thin">
        <color theme="6" tint="-0.249977111117893"/>
      </left>
      <right/>
      <top style="double">
        <color theme="6" tint="-0.249977111117893"/>
      </top>
      <bottom style="double">
        <color theme="6" tint="-0.249977111117893"/>
      </bottom>
      <diagonal/>
    </border>
    <border>
      <left/>
      <right style="thin">
        <color theme="8" tint="-0.249977111117893"/>
      </right>
      <top style="double">
        <color theme="6" tint="-0.249977111117893"/>
      </top>
      <bottom style="double">
        <color theme="6" tint="-0.249977111117893"/>
      </bottom>
      <diagonal/>
    </border>
    <border>
      <left style="thin">
        <color theme="8" tint="-0.249977111117893"/>
      </left>
      <right/>
      <top style="double">
        <color theme="8" tint="-0.249977111117893"/>
      </top>
      <bottom style="double">
        <color theme="8" tint="-0.249977111117893"/>
      </bottom>
      <diagonal/>
    </border>
    <border>
      <left/>
      <right style="thin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double">
        <color theme="4" tint="-0.249977111117893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double">
        <color theme="8" tint="-0.249977111117893"/>
      </top>
      <bottom style="double">
        <color theme="8" tint="-0.249977111117893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249977111117893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double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ck">
        <color indexed="64"/>
      </top>
      <bottom style="thin">
        <color theme="4" tint="-0.249977111117893"/>
      </bottom>
      <diagonal/>
    </border>
    <border>
      <left/>
      <right/>
      <top style="thick">
        <color indexed="6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ck">
        <color indexed="64"/>
      </top>
      <bottom style="thin">
        <color theme="4" tint="-0.249977111117893"/>
      </bottom>
      <diagonal/>
    </border>
    <border>
      <left style="thin">
        <color theme="6" tint="-0.249977111117893"/>
      </left>
      <right/>
      <top style="thin">
        <color theme="6" tint="-0.249977111117893"/>
      </top>
      <bottom style="double">
        <color theme="6" tint="-0.249977111117893"/>
      </bottom>
      <diagonal/>
    </border>
    <border>
      <left/>
      <right style="thin">
        <color theme="8" tint="-0.249977111117893"/>
      </right>
      <top style="thin">
        <color theme="6" tint="-0.249977111117893"/>
      </top>
      <bottom style="double">
        <color theme="6" tint="-0.249977111117893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double">
        <color theme="6" tint="-0.249977111117893"/>
      </bottom>
      <diagonal/>
    </border>
    <border>
      <left style="thin">
        <color theme="4" tint="-0.249977111117893"/>
      </left>
      <right/>
      <top style="thin">
        <color theme="6" tint="-0.249977111117893"/>
      </top>
      <bottom style="double">
        <color theme="6" tint="-0.249977111117893"/>
      </bottom>
      <diagonal/>
    </border>
    <border>
      <left/>
      <right style="thin">
        <color theme="8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4" tint="-0.249977111117893"/>
      </left>
      <right/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34998626667073579"/>
      </left>
      <right/>
      <top style="double">
        <color theme="4" tint="-0.249977111117893"/>
      </top>
      <bottom style="double">
        <color theme="4" tint="-0.249977111117893"/>
      </bottom>
      <diagonal/>
    </border>
    <border>
      <left style="thin">
        <color theme="8" tint="-0.249977111117893"/>
      </left>
      <right/>
      <top style="double">
        <color theme="8" tint="-0.249977111117893"/>
      </top>
      <bottom/>
      <diagonal/>
    </border>
    <border>
      <left/>
      <right style="thin">
        <color theme="8" tint="-0.249977111117893"/>
      </right>
      <top style="double">
        <color theme="8" tint="-0.249977111117893"/>
      </top>
      <bottom/>
      <diagonal/>
    </border>
    <border>
      <left style="thin">
        <color theme="8" tint="-0.249977111117893"/>
      </left>
      <right/>
      <top/>
      <bottom style="thin">
        <color theme="8" tint="-0.499984740745262"/>
      </bottom>
      <diagonal/>
    </border>
    <border>
      <left/>
      <right style="thin">
        <color theme="8" tint="-0.249977111117893"/>
      </right>
      <top/>
      <bottom style="thin">
        <color theme="8" tint="-0.499984740745262"/>
      </bottom>
      <diagonal/>
    </border>
    <border>
      <left/>
      <right style="medium">
        <color theme="0" tint="-0.34998626667073579"/>
      </right>
      <top style="double">
        <color theme="8" tint="-0.249977111117893"/>
      </top>
      <bottom/>
      <diagonal/>
    </border>
    <border>
      <left/>
      <right style="medium">
        <color theme="0" tint="-0.34998626667073579"/>
      </right>
      <top/>
      <bottom style="thin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double">
        <color theme="8" tint="-0.249977111117893"/>
      </bottom>
      <diagonal/>
    </border>
    <border>
      <left/>
      <right style="medium">
        <color theme="0" tint="-0.34998626667073579"/>
      </right>
      <top style="thin">
        <color theme="8" tint="-0.249977111117893"/>
      </top>
      <bottom style="double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double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medium">
        <color theme="0" tint="-0.34998626667073579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6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medium">
        <color theme="0" tint="-0.34998626667073579"/>
      </right>
      <top/>
      <bottom style="thin">
        <color theme="8" tint="-0.249977111117893"/>
      </bottom>
      <diagonal/>
    </border>
    <border>
      <left style="thin">
        <color theme="6" tint="-0.249977111117893"/>
      </left>
      <right/>
      <top style="double">
        <color theme="6" tint="-0.249977111117893"/>
      </top>
      <bottom/>
      <diagonal/>
    </border>
    <border>
      <left/>
      <right style="thin">
        <color theme="8" tint="-0.249977111117893"/>
      </right>
      <top style="double">
        <color theme="6" tint="-0.249977111117893"/>
      </top>
      <bottom/>
      <diagonal/>
    </border>
    <border>
      <left style="thin">
        <color theme="6" tint="-0.249977111117893"/>
      </left>
      <right/>
      <top/>
      <bottom style="thin">
        <color theme="6" tint="-0.499984740745262"/>
      </bottom>
      <diagonal/>
    </border>
    <border>
      <left/>
      <right style="thin">
        <color theme="8" tint="-0.249977111117893"/>
      </right>
      <top/>
      <bottom style="thin">
        <color theme="6" tint="-0.499984740745262"/>
      </bottom>
      <diagonal/>
    </border>
    <border>
      <left/>
      <right style="thin">
        <color theme="6" tint="-0.249977111117893"/>
      </right>
      <top style="double">
        <color theme="6" tint="-0.249977111117893"/>
      </top>
      <bottom/>
      <diagonal/>
    </border>
    <border>
      <left/>
      <right style="thin">
        <color theme="6" tint="-0.249977111117893"/>
      </right>
      <top/>
      <bottom style="thin">
        <color theme="6" tint="-0.499984740745262"/>
      </bottom>
      <diagonal/>
    </border>
    <border>
      <left style="thin">
        <color theme="4" tint="-0.249977111117893"/>
      </left>
      <right/>
      <top style="double">
        <color theme="6" tint="-0.249977111117893"/>
      </top>
      <bottom/>
      <diagonal/>
    </border>
    <border>
      <left style="thin">
        <color theme="4" tint="-0.249977111117893"/>
      </left>
      <right/>
      <top/>
      <bottom style="thin">
        <color theme="6" tint="-0.499984740745262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double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6" tint="-0.249977111117893"/>
      </bottom>
      <diagonal/>
    </border>
    <border>
      <left/>
      <right/>
      <top/>
      <bottom style="thin">
        <color theme="6" tint="-0.249977111117893"/>
      </bottom>
      <diagonal/>
    </border>
    <border>
      <left style="thin">
        <color theme="4" tint="-0.249977111117893"/>
      </left>
      <right/>
      <top style="double">
        <color theme="4" tint="-0.249977111117893"/>
      </top>
      <bottom/>
      <diagonal/>
    </border>
    <border>
      <left/>
      <right style="thin">
        <color theme="4" tint="-0.249977111117893"/>
      </right>
      <top style="double">
        <color theme="4" tint="-0.249977111117893"/>
      </top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 style="thin">
        <color theme="0" tint="-0.34998626667073579"/>
      </left>
      <right/>
      <top style="double">
        <color theme="4" tint="-0.249977111117893"/>
      </top>
      <bottom/>
      <diagonal/>
    </border>
    <border>
      <left style="thin">
        <color theme="0" tint="-0.34998626667073579"/>
      </left>
      <right/>
      <top/>
      <bottom style="thin">
        <color theme="4" tint="-0.249977111117893"/>
      </bottom>
      <diagonal/>
    </border>
    <border>
      <left style="thin">
        <color theme="0" tint="-0.34998626667073579"/>
      </left>
      <right/>
      <top style="thin">
        <color theme="4" tint="-0.249977111117893"/>
      </top>
      <bottom style="double">
        <color theme="4" tint="-0.249977111117893"/>
      </bottom>
      <diagonal/>
    </border>
    <border>
      <left style="thin">
        <color theme="0" tint="-0.34998626667073579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ck">
        <color indexed="64"/>
      </top>
      <bottom/>
      <diagonal/>
    </border>
    <border>
      <left/>
      <right style="thin">
        <color theme="0" tint="-0.34998626667073579"/>
      </right>
      <top style="thick">
        <color indexed="64"/>
      </top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1" fillId="0" borderId="0"/>
    <xf numFmtId="0" fontId="21" fillId="0" borderId="0"/>
    <xf numFmtId="44" fontId="21" fillId="0" borderId="0" applyFont="0" applyFill="0" applyBorder="0" applyAlignment="0" applyProtection="0"/>
  </cellStyleXfs>
  <cellXfs count="29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20" fillId="3" borderId="2" xfId="0" applyFont="1" applyFill="1" applyBorder="1" applyAlignment="1">
      <alignment horizontal="center" vertical="center" wrapText="1"/>
    </xf>
    <xf numFmtId="3" fontId="22" fillId="4" borderId="7" xfId="0" applyNumberFormat="1" applyFont="1" applyFill="1" applyBorder="1" applyAlignment="1">
      <alignment vertical="center"/>
    </xf>
    <xf numFmtId="0" fontId="3" fillId="18" borderId="3" xfId="0" applyFont="1" applyFill="1" applyBorder="1" applyAlignment="1">
      <alignment vertical="center" wrapText="1"/>
    </xf>
    <xf numFmtId="10" fontId="11" fillId="0" borderId="3" xfId="0" applyNumberFormat="1" applyFont="1" applyBorder="1" applyAlignment="1">
      <alignment vertical="center" wrapText="1"/>
    </xf>
    <xf numFmtId="4" fontId="20" fillId="4" borderId="7" xfId="0" applyNumberFormat="1" applyFont="1" applyFill="1" applyBorder="1" applyAlignment="1">
      <alignment vertical="center"/>
    </xf>
    <xf numFmtId="4" fontId="20" fillId="6" borderId="4" xfId="0" applyNumberFormat="1" applyFont="1" applyFill="1" applyBorder="1" applyAlignment="1">
      <alignment vertical="center"/>
    </xf>
    <xf numFmtId="3" fontId="22" fillId="6" borderId="4" xfId="0" applyNumberFormat="1" applyFont="1" applyFill="1" applyBorder="1" applyAlignment="1">
      <alignment vertical="center"/>
    </xf>
    <xf numFmtId="3" fontId="22" fillId="5" borderId="4" xfId="0" applyNumberFormat="1" applyFont="1" applyFill="1" applyBorder="1" applyAlignment="1">
      <alignment horizontal="center" vertical="center" wrapText="1"/>
    </xf>
    <xf numFmtId="3" fontId="22" fillId="5" borderId="4" xfId="0" applyNumberFormat="1" applyFont="1" applyFill="1" applyBorder="1" applyAlignment="1">
      <alignment vertical="center"/>
    </xf>
    <xf numFmtId="4" fontId="20" fillId="5" borderId="7" xfId="0" applyNumberFormat="1" applyFont="1" applyFill="1" applyBorder="1" applyAlignment="1">
      <alignment vertical="center"/>
    </xf>
    <xf numFmtId="0" fontId="20" fillId="3" borderId="30" xfId="0" applyFont="1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4" fontId="20" fillId="4" borderId="31" xfId="0" applyNumberFormat="1" applyFont="1" applyFill="1" applyBorder="1" applyAlignment="1">
      <alignment vertical="center"/>
    </xf>
    <xf numFmtId="4" fontId="20" fillId="4" borderId="27" xfId="0" applyNumberFormat="1" applyFont="1" applyFill="1" applyBorder="1" applyAlignment="1">
      <alignment vertical="center"/>
    </xf>
    <xf numFmtId="3" fontId="22" fillId="6" borderId="34" xfId="0" applyNumberFormat="1" applyFont="1" applyFill="1" applyBorder="1" applyAlignment="1">
      <alignment horizontal="center" vertical="center" wrapText="1"/>
    </xf>
    <xf numFmtId="3" fontId="22" fillId="7" borderId="33" xfId="0" applyNumberFormat="1" applyFont="1" applyFill="1" applyBorder="1" applyAlignment="1">
      <alignment vertical="center"/>
    </xf>
    <xf numFmtId="3" fontId="22" fillId="7" borderId="33" xfId="0" applyNumberFormat="1" applyFont="1" applyFill="1" applyBorder="1" applyAlignment="1">
      <alignment horizontal="center" vertical="center" wrapText="1"/>
    </xf>
    <xf numFmtId="3" fontId="22" fillId="8" borderId="33" xfId="0" applyNumberFormat="1" applyFont="1" applyFill="1" applyBorder="1" applyAlignment="1">
      <alignment vertical="center"/>
    </xf>
    <xf numFmtId="3" fontId="22" fillId="8" borderId="33" xfId="0" applyNumberFormat="1" applyFont="1" applyFill="1" applyBorder="1" applyAlignment="1">
      <alignment horizontal="center" vertical="center" wrapText="1"/>
    </xf>
    <xf numFmtId="3" fontId="22" fillId="9" borderId="33" xfId="0" applyNumberFormat="1" applyFont="1" applyFill="1" applyBorder="1" applyAlignment="1">
      <alignment vertical="center"/>
    </xf>
    <xf numFmtId="4" fontId="20" fillId="7" borderId="33" xfId="0" applyNumberFormat="1" applyFont="1" applyFill="1" applyBorder="1" applyAlignment="1">
      <alignment vertical="center"/>
    </xf>
    <xf numFmtId="4" fontId="20" fillId="8" borderId="33" xfId="0" applyNumberFormat="1" applyFont="1" applyFill="1" applyBorder="1" applyAlignment="1">
      <alignment vertical="center"/>
    </xf>
    <xf numFmtId="4" fontId="20" fillId="9" borderId="33" xfId="0" applyNumberFormat="1" applyFont="1" applyFill="1" applyBorder="1" applyAlignment="1">
      <alignment vertical="center"/>
    </xf>
    <xf numFmtId="3" fontId="22" fillId="9" borderId="38" xfId="0" applyNumberFormat="1" applyFont="1" applyFill="1" applyBorder="1" applyAlignment="1">
      <alignment horizontal="center" vertical="center" wrapText="1"/>
    </xf>
    <xf numFmtId="3" fontId="22" fillId="10" borderId="37" xfId="0" applyNumberFormat="1" applyFont="1" applyFill="1" applyBorder="1" applyAlignment="1">
      <alignment vertical="center"/>
    </xf>
    <xf numFmtId="3" fontId="22" fillId="10" borderId="37" xfId="0" applyNumberFormat="1" applyFont="1" applyFill="1" applyBorder="1" applyAlignment="1">
      <alignment horizontal="center" vertical="center" wrapText="1"/>
    </xf>
    <xf numFmtId="3" fontId="22" fillId="11" borderId="37" xfId="0" applyNumberFormat="1" applyFont="1" applyFill="1" applyBorder="1" applyAlignment="1">
      <alignment vertical="center"/>
    </xf>
    <xf numFmtId="3" fontId="22" fillId="11" borderId="37" xfId="0" applyNumberFormat="1" applyFont="1" applyFill="1" applyBorder="1" applyAlignment="1">
      <alignment horizontal="center" vertical="center" wrapText="1"/>
    </xf>
    <xf numFmtId="3" fontId="22" fillId="12" borderId="37" xfId="0" applyNumberFormat="1" applyFont="1" applyFill="1" applyBorder="1" applyAlignment="1">
      <alignment vertical="center"/>
    </xf>
    <xf numFmtId="3" fontId="22" fillId="12" borderId="37" xfId="0" applyNumberFormat="1" applyFont="1" applyFill="1" applyBorder="1" applyAlignment="1">
      <alignment horizontal="center" vertical="center" wrapText="1"/>
    </xf>
    <xf numFmtId="4" fontId="20" fillId="10" borderId="37" xfId="0" applyNumberFormat="1" applyFont="1" applyFill="1" applyBorder="1" applyAlignment="1">
      <alignment vertical="center"/>
    </xf>
    <xf numFmtId="4" fontId="20" fillId="11" borderId="37" xfId="0" applyNumberFormat="1" applyFont="1" applyFill="1" applyBorder="1" applyAlignment="1">
      <alignment vertical="center"/>
    </xf>
    <xf numFmtId="4" fontId="20" fillId="12" borderId="37" xfId="0" applyNumberFormat="1" applyFont="1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4" fontId="20" fillId="6" borderId="34" xfId="0" applyNumberFormat="1" applyFont="1" applyFill="1" applyBorder="1" applyAlignment="1">
      <alignment vertical="center"/>
    </xf>
    <xf numFmtId="164" fontId="20" fillId="6" borderId="35" xfId="0" applyNumberFormat="1" applyFont="1" applyFill="1" applyBorder="1" applyAlignment="1">
      <alignment vertical="center"/>
    </xf>
    <xf numFmtId="164" fontId="20" fillId="6" borderId="36" xfId="0" applyNumberFormat="1" applyFont="1" applyFill="1" applyBorder="1" applyAlignment="1">
      <alignment vertical="center"/>
    </xf>
    <xf numFmtId="164" fontId="20" fillId="7" borderId="33" xfId="0" applyNumberFormat="1" applyFont="1" applyFill="1" applyBorder="1" applyAlignment="1">
      <alignment vertical="center"/>
    </xf>
    <xf numFmtId="164" fontId="20" fillId="8" borderId="33" xfId="0" applyNumberFormat="1" applyFont="1" applyFill="1" applyBorder="1" applyAlignment="1">
      <alignment vertical="center"/>
    </xf>
    <xf numFmtId="164" fontId="20" fillId="5" borderId="4" xfId="0" applyNumberFormat="1" applyFont="1" applyFill="1" applyBorder="1" applyAlignment="1">
      <alignment vertical="center"/>
    </xf>
    <xf numFmtId="164" fontId="20" fillId="5" borderId="32" xfId="0" applyNumberFormat="1" applyFont="1" applyFill="1" applyBorder="1" applyAlignment="1">
      <alignment vertical="center"/>
    </xf>
    <xf numFmtId="164" fontId="20" fillId="5" borderId="27" xfId="0" applyNumberFormat="1" applyFont="1" applyFill="1" applyBorder="1" applyAlignment="1">
      <alignment vertical="center"/>
    </xf>
    <xf numFmtId="164" fontId="20" fillId="4" borderId="4" xfId="0" applyNumberFormat="1" applyFont="1" applyFill="1" applyBorder="1" applyAlignment="1">
      <alignment vertical="center"/>
    </xf>
    <xf numFmtId="164" fontId="20" fillId="4" borderId="32" xfId="0" applyNumberFormat="1" applyFont="1" applyFill="1" applyBorder="1" applyAlignment="1">
      <alignment vertical="center"/>
    </xf>
    <xf numFmtId="164" fontId="20" fillId="4" borderId="27" xfId="0" applyNumberFormat="1" applyFont="1" applyFill="1" applyBorder="1" applyAlignment="1">
      <alignment vertical="center"/>
    </xf>
    <xf numFmtId="164" fontId="20" fillId="9" borderId="38" xfId="0" applyNumberFormat="1" applyFont="1" applyFill="1" applyBorder="1" applyAlignment="1">
      <alignment vertical="center"/>
    </xf>
    <xf numFmtId="164" fontId="20" fillId="10" borderId="37" xfId="0" applyNumberFormat="1" applyFont="1" applyFill="1" applyBorder="1" applyAlignment="1">
      <alignment vertical="center"/>
    </xf>
    <xf numFmtId="164" fontId="20" fillId="11" borderId="37" xfId="0" applyNumberFormat="1" applyFont="1" applyFill="1" applyBorder="1" applyAlignment="1">
      <alignment vertical="center"/>
    </xf>
    <xf numFmtId="39" fontId="0" fillId="12" borderId="37" xfId="0" applyNumberFormat="1" applyFill="1" applyBorder="1" applyAlignment="1">
      <alignment vertical="center"/>
    </xf>
    <xf numFmtId="39" fontId="0" fillId="12" borderId="0" xfId="0" applyNumberFormat="1" applyFill="1"/>
    <xf numFmtId="4" fontId="20" fillId="6" borderId="32" xfId="0" applyNumberFormat="1" applyFont="1" applyFill="1" applyBorder="1" applyAlignment="1">
      <alignment vertical="center"/>
    </xf>
    <xf numFmtId="4" fontId="20" fillId="6" borderId="27" xfId="0" applyNumberFormat="1" applyFont="1" applyFill="1" applyBorder="1" applyAlignment="1">
      <alignment vertical="center"/>
    </xf>
    <xf numFmtId="4" fontId="20" fillId="5" borderId="4" xfId="0" applyNumberFormat="1" applyFont="1" applyFill="1" applyBorder="1" applyAlignment="1">
      <alignment vertical="center"/>
    </xf>
    <xf numFmtId="4" fontId="20" fillId="5" borderId="32" xfId="0" applyNumberFormat="1" applyFont="1" applyFill="1" applyBorder="1" applyAlignment="1">
      <alignment vertical="center"/>
    </xf>
    <xf numFmtId="4" fontId="20" fillId="5" borderId="27" xfId="0" applyNumberFormat="1" applyFont="1" applyFill="1" applyBorder="1" applyAlignment="1">
      <alignment vertical="center"/>
    </xf>
    <xf numFmtId="164" fontId="20" fillId="32" borderId="4" xfId="0" applyNumberFormat="1" applyFont="1" applyFill="1" applyBorder="1" applyAlignment="1">
      <alignment vertical="center"/>
    </xf>
    <xf numFmtId="164" fontId="20" fillId="32" borderId="34" xfId="0" applyNumberFormat="1" applyFont="1" applyFill="1" applyBorder="1" applyAlignment="1">
      <alignment vertical="center"/>
    </xf>
    <xf numFmtId="164" fontId="20" fillId="32" borderId="33" xfId="0" applyNumberFormat="1" applyFont="1" applyFill="1" applyBorder="1" applyAlignment="1">
      <alignment vertical="center"/>
    </xf>
    <xf numFmtId="164" fontId="20" fillId="32" borderId="38" xfId="0" applyNumberFormat="1" applyFont="1" applyFill="1" applyBorder="1" applyAlignment="1">
      <alignment vertical="center"/>
    </xf>
    <xf numFmtId="164" fontId="20" fillId="32" borderId="37" xfId="0" applyNumberFormat="1" applyFont="1" applyFill="1" applyBorder="1" applyAlignment="1">
      <alignment vertical="center"/>
    </xf>
    <xf numFmtId="39" fontId="0" fillId="32" borderId="37" xfId="0" applyNumberFormat="1" applyFill="1" applyBorder="1" applyAlignment="1">
      <alignment vertical="center"/>
    </xf>
    <xf numFmtId="0" fontId="3" fillId="18" borderId="24" xfId="0" applyFont="1" applyFill="1" applyBorder="1" applyAlignment="1">
      <alignment horizontal="center" vertical="center" wrapText="1"/>
    </xf>
    <xf numFmtId="10" fontId="6" fillId="0" borderId="24" xfId="0" applyNumberFormat="1" applyFont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7" fillId="17" borderId="48" xfId="0" applyFont="1" applyFill="1" applyBorder="1" applyAlignment="1">
      <alignment vertical="center"/>
    </xf>
    <xf numFmtId="0" fontId="28" fillId="17" borderId="48" xfId="0" applyFont="1" applyFill="1" applyBorder="1" applyAlignment="1">
      <alignment vertical="center"/>
    </xf>
    <xf numFmtId="0" fontId="29" fillId="17" borderId="48" xfId="0" applyFont="1" applyFill="1" applyBorder="1" applyAlignment="1">
      <alignment horizontal="left" vertical="center" wrapText="1"/>
    </xf>
    <xf numFmtId="0" fontId="30" fillId="17" borderId="0" xfId="0" applyFont="1" applyFill="1" applyAlignment="1">
      <alignment horizontal="left" vertical="center" wrapText="1"/>
    </xf>
    <xf numFmtId="0" fontId="31" fillId="17" borderId="0" xfId="0" applyFont="1" applyFill="1" applyAlignment="1">
      <alignment horizontal="left" vertical="top"/>
    </xf>
    <xf numFmtId="0" fontId="31" fillId="17" borderId="0" xfId="0" applyFont="1" applyFill="1" applyAlignment="1">
      <alignment horizontal="left" vertical="center" wrapText="1"/>
    </xf>
    <xf numFmtId="0" fontId="10" fillId="17" borderId="49" xfId="0" applyFont="1" applyFill="1" applyBorder="1" applyAlignment="1">
      <alignment vertical="center"/>
    </xf>
    <xf numFmtId="0" fontId="10" fillId="17" borderId="0" xfId="0" applyFont="1" applyFill="1" applyAlignment="1">
      <alignment horizontal="center" vertical="center"/>
    </xf>
    <xf numFmtId="0" fontId="32" fillId="17" borderId="49" xfId="0" applyFont="1" applyFill="1" applyBorder="1" applyAlignment="1">
      <alignment horizontal="right" vertical="center"/>
    </xf>
    <xf numFmtId="164" fontId="33" fillId="17" borderId="49" xfId="0" applyNumberFormat="1" applyFont="1" applyFill="1" applyBorder="1" applyAlignment="1">
      <alignment horizontal="left" vertical="center"/>
    </xf>
    <xf numFmtId="165" fontId="34" fillId="17" borderId="0" xfId="0" applyNumberFormat="1" applyFont="1" applyFill="1"/>
    <xf numFmtId="0" fontId="34" fillId="33" borderId="0" xfId="0" applyFont="1" applyFill="1" applyAlignment="1">
      <alignment horizontal="left" wrapText="1"/>
    </xf>
    <xf numFmtId="0" fontId="36" fillId="33" borderId="0" xfId="0" applyFont="1" applyFill="1" applyAlignment="1">
      <alignment horizontal="right"/>
    </xf>
    <xf numFmtId="0" fontId="37" fillId="34" borderId="52" xfId="3" applyFont="1" applyFill="1" applyBorder="1" applyAlignment="1">
      <alignment horizontal="left" wrapText="1"/>
    </xf>
    <xf numFmtId="165" fontId="37" fillId="35" borderId="53" xfId="3" applyNumberFormat="1" applyFont="1" applyFill="1" applyBorder="1" applyAlignment="1">
      <alignment horizontal="left" wrapText="1"/>
    </xf>
    <xf numFmtId="0" fontId="38" fillId="30" borderId="54" xfId="0" applyFont="1" applyFill="1" applyBorder="1" applyAlignment="1">
      <alignment horizontal="center" vertical="center" textRotation="90"/>
    </xf>
    <xf numFmtId="0" fontId="39" fillId="30" borderId="52" xfId="0" applyFont="1" applyFill="1" applyBorder="1"/>
    <xf numFmtId="0" fontId="38" fillId="28" borderId="54" xfId="0" applyFont="1" applyFill="1" applyBorder="1" applyAlignment="1">
      <alignment horizontal="center" vertical="center" textRotation="90"/>
    </xf>
    <xf numFmtId="0" fontId="39" fillId="28" borderId="55" xfId="0" applyFont="1" applyFill="1" applyBorder="1"/>
    <xf numFmtId="0" fontId="38" fillId="7" borderId="54" xfId="0" applyFont="1" applyFill="1" applyBorder="1" applyAlignment="1">
      <alignment horizontal="center" vertical="center" textRotation="90"/>
    </xf>
    <xf numFmtId="0" fontId="39" fillId="7" borderId="55" xfId="0" applyFont="1" applyFill="1" applyBorder="1"/>
    <xf numFmtId="0" fontId="38" fillId="29" borderId="54" xfId="0" applyFont="1" applyFill="1" applyBorder="1" applyAlignment="1">
      <alignment horizontal="center" vertical="center" textRotation="90"/>
    </xf>
    <xf numFmtId="0" fontId="39" fillId="29" borderId="55" xfId="0" applyFont="1" applyFill="1" applyBorder="1"/>
    <xf numFmtId="0" fontId="38" fillId="10" borderId="54" xfId="0" applyFont="1" applyFill="1" applyBorder="1" applyAlignment="1">
      <alignment horizontal="center" vertical="center" textRotation="90"/>
    </xf>
    <xf numFmtId="0" fontId="39" fillId="10" borderId="55" xfId="0" applyFont="1" applyFill="1" applyBorder="1"/>
    <xf numFmtId="0" fontId="39" fillId="10" borderId="52" xfId="0" applyFont="1" applyFill="1" applyBorder="1"/>
    <xf numFmtId="0" fontId="39" fillId="30" borderId="55" xfId="0" applyFont="1" applyFill="1" applyBorder="1"/>
    <xf numFmtId="0" fontId="40" fillId="34" borderId="52" xfId="3" applyFont="1" applyFill="1" applyBorder="1" applyAlignment="1">
      <alignment horizontal="left" wrapText="1"/>
    </xf>
    <xf numFmtId="164" fontId="42" fillId="33" borderId="58" xfId="0" applyNumberFormat="1" applyFont="1" applyFill="1" applyBorder="1" applyAlignment="1">
      <alignment horizontal="left" vertical="top"/>
    </xf>
    <xf numFmtId="164" fontId="41" fillId="33" borderId="59" xfId="0" applyNumberFormat="1" applyFont="1" applyFill="1" applyBorder="1" applyAlignment="1">
      <alignment horizontal="left" vertical="top"/>
    </xf>
    <xf numFmtId="164" fontId="41" fillId="33" borderId="58" xfId="0" applyNumberFormat="1" applyFont="1" applyFill="1" applyBorder="1" applyAlignment="1">
      <alignment horizontal="left" vertical="top"/>
    </xf>
    <xf numFmtId="164" fontId="41" fillId="33" borderId="57" xfId="0" applyNumberFormat="1" applyFont="1" applyFill="1" applyBorder="1" applyAlignment="1">
      <alignment horizontal="left" vertical="top"/>
    </xf>
    <xf numFmtId="0" fontId="7" fillId="17" borderId="65" xfId="0" applyFont="1" applyFill="1" applyBorder="1" applyAlignment="1">
      <alignment horizontal="right" vertical="center"/>
    </xf>
    <xf numFmtId="0" fontId="7" fillId="17" borderId="65" xfId="0" applyFont="1" applyFill="1" applyBorder="1" applyAlignment="1">
      <alignment vertical="center"/>
    </xf>
    <xf numFmtId="0" fontId="7" fillId="17" borderId="65" xfId="0" applyFont="1" applyFill="1" applyBorder="1" applyAlignment="1">
      <alignment horizontal="left" vertical="center"/>
    </xf>
    <xf numFmtId="165" fontId="7" fillId="17" borderId="65" xfId="0" applyNumberFormat="1" applyFont="1" applyFill="1" applyBorder="1" applyAlignment="1">
      <alignment horizontal="left" vertical="center"/>
    </xf>
    <xf numFmtId="165" fontId="44" fillId="17" borderId="65" xfId="0" applyNumberFormat="1" applyFont="1" applyFill="1" applyBorder="1" applyAlignment="1">
      <alignment horizontal="left" vertical="center"/>
    </xf>
    <xf numFmtId="0" fontId="7" fillId="17" borderId="65" xfId="0" applyFont="1" applyFill="1" applyBorder="1" applyAlignment="1">
      <alignment horizontal="center" vertical="center"/>
    </xf>
    <xf numFmtId="164" fontId="7" fillId="17" borderId="65" xfId="0" applyNumberFormat="1" applyFont="1" applyFill="1" applyBorder="1" applyAlignment="1">
      <alignment horizontal="left" vertical="center"/>
    </xf>
    <xf numFmtId="0" fontId="35" fillId="30" borderId="50" xfId="0" applyFont="1" applyFill="1" applyBorder="1" applyAlignment="1">
      <alignment horizontal="center"/>
    </xf>
    <xf numFmtId="0" fontId="37" fillId="34" borderId="52" xfId="3" applyFont="1" applyFill="1" applyBorder="1" applyAlignment="1">
      <alignment horizontal="center" wrapText="1"/>
    </xf>
    <xf numFmtId="166" fontId="41" fillId="31" borderId="57" xfId="0" applyNumberFormat="1" applyFont="1" applyFill="1" applyBorder="1" applyAlignment="1" applyProtection="1">
      <alignment horizontal="left" vertical="top"/>
      <protection locked="0"/>
    </xf>
    <xf numFmtId="166" fontId="39" fillId="31" borderId="58" xfId="0" applyNumberFormat="1" applyFont="1" applyFill="1" applyBorder="1" applyAlignment="1" applyProtection="1">
      <alignment horizontal="left" vertical="top"/>
      <protection locked="0"/>
    </xf>
    <xf numFmtId="0" fontId="43" fillId="31" borderId="60" xfId="0" applyFont="1" applyFill="1" applyBorder="1" applyAlignment="1" applyProtection="1">
      <alignment vertical="top"/>
      <protection locked="0"/>
    </xf>
    <xf numFmtId="0" fontId="41" fillId="31" borderId="60" xfId="0" applyFont="1" applyFill="1" applyBorder="1" applyAlignment="1" applyProtection="1">
      <alignment vertical="top"/>
      <protection locked="0"/>
    </xf>
    <xf numFmtId="15" fontId="41" fillId="31" borderId="60" xfId="0" applyNumberFormat="1" applyFont="1" applyFill="1" applyBorder="1" applyAlignment="1" applyProtection="1">
      <alignment horizontal="left" vertical="top"/>
      <protection locked="0"/>
    </xf>
    <xf numFmtId="166" fontId="41" fillId="31" borderId="60" xfId="0" applyNumberFormat="1" applyFont="1" applyFill="1" applyBorder="1" applyAlignment="1" applyProtection="1">
      <alignment horizontal="left" vertical="top"/>
      <protection locked="0"/>
    </xf>
    <xf numFmtId="0" fontId="41" fillId="30" borderId="61" xfId="0" applyFont="1" applyFill="1" applyBorder="1" applyAlignment="1" applyProtection="1">
      <alignment horizontal="center" vertical="top"/>
      <protection locked="0"/>
    </xf>
    <xf numFmtId="0" fontId="43" fillId="31" borderId="62" xfId="0" applyFont="1" applyFill="1" applyBorder="1" applyAlignment="1" applyProtection="1">
      <alignment vertical="top"/>
      <protection locked="0"/>
    </xf>
    <xf numFmtId="0" fontId="41" fillId="31" borderId="62" xfId="0" applyFont="1" applyFill="1" applyBorder="1" applyAlignment="1" applyProtection="1">
      <alignment vertical="top"/>
      <protection locked="0"/>
    </xf>
    <xf numFmtId="0" fontId="41" fillId="30" borderId="63" xfId="0" applyFont="1" applyFill="1" applyBorder="1" applyAlignment="1" applyProtection="1">
      <alignment horizontal="center" vertical="top"/>
      <protection locked="0"/>
    </xf>
    <xf numFmtId="0" fontId="25" fillId="31" borderId="62" xfId="0" applyFont="1" applyFill="1" applyBorder="1" applyAlignment="1" applyProtection="1">
      <alignment vertical="top"/>
      <protection locked="0"/>
    </xf>
    <xf numFmtId="15" fontId="41" fillId="31" borderId="62" xfId="0" applyNumberFormat="1" applyFont="1" applyFill="1" applyBorder="1" applyAlignment="1" applyProtection="1">
      <alignment horizontal="left" vertical="top"/>
      <protection locked="0"/>
    </xf>
    <xf numFmtId="166" fontId="41" fillId="31" borderId="62" xfId="0" applyNumberFormat="1" applyFont="1" applyFill="1" applyBorder="1" applyAlignment="1" applyProtection="1">
      <alignment horizontal="left" vertical="top"/>
      <protection locked="0"/>
    </xf>
    <xf numFmtId="0" fontId="43" fillId="31" borderId="64" xfId="0" applyFont="1" applyFill="1" applyBorder="1" applyAlignment="1" applyProtection="1">
      <alignment vertical="top"/>
      <protection locked="0"/>
    </xf>
    <xf numFmtId="0" fontId="41" fillId="31" borderId="64" xfId="0" applyFont="1" applyFill="1" applyBorder="1" applyAlignment="1" applyProtection="1">
      <alignment vertical="top"/>
      <protection locked="0"/>
    </xf>
    <xf numFmtId="15" fontId="41" fillId="31" borderId="64" xfId="0" applyNumberFormat="1" applyFont="1" applyFill="1" applyBorder="1" applyAlignment="1" applyProtection="1">
      <alignment horizontal="left" vertical="top"/>
      <protection locked="0"/>
    </xf>
    <xf numFmtId="166" fontId="41" fillId="31" borderId="64" xfId="0" applyNumberFormat="1" applyFont="1" applyFill="1" applyBorder="1" applyAlignment="1" applyProtection="1">
      <alignment horizontal="left" vertical="top"/>
      <protection locked="0"/>
    </xf>
    <xf numFmtId="0" fontId="37" fillId="35" borderId="56" xfId="0" applyFont="1" applyFill="1" applyBorder="1" applyAlignment="1">
      <alignment horizontal="left" wrapText="1"/>
    </xf>
    <xf numFmtId="0" fontId="35" fillId="30" borderId="49" xfId="0" applyFont="1" applyFill="1" applyBorder="1" applyAlignment="1">
      <alignment horizontal="center"/>
    </xf>
    <xf numFmtId="0" fontId="35" fillId="28" borderId="50" xfId="0" applyFont="1" applyFill="1" applyBorder="1" applyAlignment="1">
      <alignment horizontal="center"/>
    </xf>
    <xf numFmtId="0" fontId="35" fillId="28" borderId="51" xfId="0" applyFont="1" applyFill="1" applyBorder="1" applyAlignment="1">
      <alignment horizontal="center"/>
    </xf>
    <xf numFmtId="0" fontId="35" fillId="7" borderId="50" xfId="0" applyFont="1" applyFill="1" applyBorder="1" applyAlignment="1">
      <alignment horizontal="center"/>
    </xf>
    <xf numFmtId="0" fontId="35" fillId="7" borderId="51" xfId="0" applyFont="1" applyFill="1" applyBorder="1" applyAlignment="1">
      <alignment horizont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5" fillId="10" borderId="50" xfId="0" applyFont="1" applyFill="1" applyBorder="1" applyAlignment="1">
      <alignment horizontal="center"/>
    </xf>
    <xf numFmtId="0" fontId="35" fillId="10" borderId="51" xfId="0" applyFont="1" applyFill="1" applyBorder="1" applyAlignment="1">
      <alignment horizontal="center"/>
    </xf>
    <xf numFmtId="0" fontId="35" fillId="10" borderId="49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7" fillId="34" borderId="0" xfId="3" applyFont="1" applyFill="1" applyAlignment="1">
      <alignment horizontal="left" wrapText="1"/>
    </xf>
    <xf numFmtId="0" fontId="7" fillId="17" borderId="1" xfId="0" applyFont="1" applyFill="1" applyBorder="1" applyAlignment="1">
      <alignment vertical="center"/>
    </xf>
    <xf numFmtId="44" fontId="0" fillId="0" borderId="0" xfId="4" applyFont="1"/>
    <xf numFmtId="44" fontId="7" fillId="17" borderId="1" xfId="4" applyFont="1" applyFill="1" applyBorder="1" applyAlignment="1">
      <alignment vertical="center"/>
    </xf>
    <xf numFmtId="44" fontId="0" fillId="0" borderId="0" xfId="0" applyNumberFormat="1"/>
    <xf numFmtId="164" fontId="0" fillId="0" borderId="0" xfId="0" applyNumberFormat="1"/>
    <xf numFmtId="0" fontId="2" fillId="0" borderId="0" xfId="0" applyFont="1"/>
    <xf numFmtId="167" fontId="0" fillId="0" borderId="0" xfId="4" applyNumberFormat="1" applyFont="1"/>
    <xf numFmtId="0" fontId="47" fillId="17" borderId="48" xfId="0" applyFont="1" applyFill="1" applyBorder="1" applyAlignment="1">
      <alignment vertical="center"/>
    </xf>
    <xf numFmtId="0" fontId="48" fillId="17" borderId="48" xfId="0" applyFont="1" applyFill="1" applyBorder="1" applyAlignment="1">
      <alignment vertical="center"/>
    </xf>
    <xf numFmtId="0" fontId="49" fillId="31" borderId="60" xfId="0" applyFont="1" applyFill="1" applyBorder="1" applyAlignment="1" applyProtection="1">
      <alignment vertical="top" wrapText="1"/>
      <protection locked="0"/>
    </xf>
    <xf numFmtId="0" fontId="16" fillId="31" borderId="60" xfId="1" applyFill="1" applyBorder="1" applyAlignment="1" applyProtection="1">
      <alignment vertical="top" wrapText="1"/>
      <protection locked="0"/>
    </xf>
    <xf numFmtId="0" fontId="16" fillId="31" borderId="60" xfId="1" applyFill="1" applyBorder="1" applyAlignment="1" applyProtection="1">
      <alignment vertical="top"/>
      <protection locked="0"/>
    </xf>
    <xf numFmtId="0" fontId="50" fillId="0" borderId="0" xfId="0" applyFont="1"/>
    <xf numFmtId="44" fontId="50" fillId="0" borderId="0" xfId="4" applyFont="1"/>
    <xf numFmtId="0" fontId="26" fillId="0" borderId="0" xfId="0" applyFont="1" applyAlignment="1">
      <alignment horizontal="left"/>
    </xf>
    <xf numFmtId="0" fontId="6" fillId="0" borderId="42" xfId="0" applyFont="1" applyBorder="1" applyAlignment="1">
      <alignment wrapText="1"/>
    </xf>
    <xf numFmtId="0" fontId="3" fillId="0" borderId="43" xfId="0" applyFont="1" applyBorder="1" applyAlignment="1">
      <alignment wrapText="1"/>
    </xf>
    <xf numFmtId="0" fontId="3" fillId="0" borderId="44" xfId="0" applyFont="1" applyBorder="1" applyAlignment="1">
      <alignment wrapText="1"/>
    </xf>
    <xf numFmtId="0" fontId="6" fillId="0" borderId="39" xfId="0" applyFont="1" applyBorder="1" applyAlignment="1">
      <alignment wrapText="1"/>
    </xf>
    <xf numFmtId="0" fontId="6" fillId="0" borderId="40" xfId="0" applyFont="1" applyBorder="1" applyAlignment="1">
      <alignment wrapText="1"/>
    </xf>
    <xf numFmtId="0" fontId="0" fillId="0" borderId="40" xfId="0" applyBorder="1" applyAlignment="1">
      <alignment wrapText="1"/>
    </xf>
    <xf numFmtId="0" fontId="3" fillId="0" borderId="42" xfId="0" applyFont="1" applyBorder="1" applyAlignment="1">
      <alignment wrapText="1"/>
    </xf>
    <xf numFmtId="0" fontId="24" fillId="17" borderId="19" xfId="0" applyFont="1" applyFill="1" applyBorder="1" applyAlignment="1">
      <alignment horizontal="center" vertical="center" wrapText="1"/>
    </xf>
    <xf numFmtId="0" fontId="24" fillId="17" borderId="0" xfId="0" applyFont="1" applyFill="1" applyAlignment="1">
      <alignment horizontal="center" vertical="center" wrapText="1"/>
    </xf>
    <xf numFmtId="0" fontId="24" fillId="17" borderId="20" xfId="0" applyFont="1" applyFill="1" applyBorder="1" applyAlignment="1">
      <alignment horizontal="center" vertical="center" wrapText="1"/>
    </xf>
    <xf numFmtId="0" fontId="17" fillId="17" borderId="21" xfId="1" applyFont="1" applyFill="1" applyBorder="1" applyAlignment="1">
      <alignment horizontal="center" vertical="center" wrapText="1"/>
    </xf>
    <xf numFmtId="0" fontId="17" fillId="17" borderId="22" xfId="1" applyFont="1" applyFill="1" applyBorder="1" applyAlignment="1">
      <alignment horizontal="center" vertical="center" wrapText="1"/>
    </xf>
    <xf numFmtId="0" fontId="17" fillId="17" borderId="23" xfId="1" applyFont="1" applyFill="1" applyBorder="1" applyAlignment="1">
      <alignment horizontal="center" vertical="center" wrapText="1"/>
    </xf>
    <xf numFmtId="0" fontId="0" fillId="0" borderId="41" xfId="0" applyBorder="1" applyAlignment="1">
      <alignment wrapText="1"/>
    </xf>
    <xf numFmtId="0" fontId="6" fillId="0" borderId="41" xfId="0" applyFont="1" applyBorder="1" applyAlignment="1">
      <alignment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42" fontId="4" fillId="20" borderId="9" xfId="0" applyNumberFormat="1" applyFont="1" applyFill="1" applyBorder="1" applyAlignment="1">
      <alignment horizontal="center" vertical="center"/>
    </xf>
    <xf numFmtId="42" fontId="4" fillId="20" borderId="10" xfId="0" applyNumberFormat="1" applyFont="1" applyFill="1" applyBorder="1" applyAlignment="1">
      <alignment horizontal="center" vertical="center"/>
    </xf>
    <xf numFmtId="42" fontId="4" fillId="19" borderId="75" xfId="0" applyNumberFormat="1" applyFont="1" applyFill="1" applyBorder="1" applyAlignment="1">
      <alignment horizontal="center" vertical="center"/>
    </xf>
    <xf numFmtId="42" fontId="4" fillId="19" borderId="10" xfId="0" applyNumberFormat="1" applyFont="1" applyFill="1" applyBorder="1" applyAlignment="1">
      <alignment horizontal="center" vertical="center"/>
    </xf>
    <xf numFmtId="42" fontId="4" fillId="23" borderId="14" xfId="0" applyNumberFormat="1" applyFont="1" applyFill="1" applyBorder="1" applyAlignment="1">
      <alignment horizontal="center" vertical="center"/>
    </xf>
    <xf numFmtId="42" fontId="4" fillId="23" borderId="13" xfId="0" applyNumberFormat="1" applyFont="1" applyFill="1" applyBorder="1" applyAlignment="1">
      <alignment horizontal="center" vertical="center"/>
    </xf>
    <xf numFmtId="42" fontId="4" fillId="24" borderId="14" xfId="0" applyNumberFormat="1" applyFont="1" applyFill="1" applyBorder="1" applyAlignment="1">
      <alignment horizontal="center" vertical="center"/>
    </xf>
    <xf numFmtId="42" fontId="4" fillId="24" borderId="15" xfId="0" applyNumberFormat="1" applyFont="1" applyFill="1" applyBorder="1" applyAlignment="1">
      <alignment horizontal="center" vertical="center"/>
    </xf>
    <xf numFmtId="42" fontId="4" fillId="22" borderId="12" xfId="0" applyNumberFormat="1" applyFont="1" applyFill="1" applyBorder="1" applyAlignment="1">
      <alignment horizontal="center" vertical="center"/>
    </xf>
    <xf numFmtId="42" fontId="4" fillId="22" borderId="13" xfId="0" applyNumberFormat="1" applyFont="1" applyFill="1" applyBorder="1" applyAlignment="1">
      <alignment horizontal="center" vertical="center"/>
    </xf>
    <xf numFmtId="42" fontId="4" fillId="25" borderId="16" xfId="0" applyNumberFormat="1" applyFont="1" applyFill="1" applyBorder="1" applyAlignment="1">
      <alignment horizontal="center" vertical="center"/>
    </xf>
    <xf numFmtId="42" fontId="4" fillId="25" borderId="17" xfId="0" applyNumberFormat="1" applyFont="1" applyFill="1" applyBorder="1" applyAlignment="1">
      <alignment horizontal="center" vertical="center"/>
    </xf>
    <xf numFmtId="42" fontId="4" fillId="26" borderId="16" xfId="0" applyNumberFormat="1" applyFont="1" applyFill="1" applyBorder="1" applyAlignment="1">
      <alignment horizontal="center" vertical="center"/>
    </xf>
    <xf numFmtId="42" fontId="4" fillId="26" borderId="17" xfId="0" applyNumberFormat="1" applyFont="1" applyFill="1" applyBorder="1" applyAlignment="1">
      <alignment horizontal="center" vertical="center"/>
    </xf>
    <xf numFmtId="42" fontId="4" fillId="27" borderId="16" xfId="0" applyNumberFormat="1" applyFont="1" applyFill="1" applyBorder="1" applyAlignment="1">
      <alignment horizontal="center" vertical="center"/>
    </xf>
    <xf numFmtId="42" fontId="4" fillId="27" borderId="25" xfId="0" applyNumberFormat="1" applyFont="1" applyFill="1" applyBorder="1" applyAlignment="1">
      <alignment horizontal="center" vertical="center"/>
    </xf>
    <xf numFmtId="1" fontId="12" fillId="7" borderId="74" xfId="0" applyNumberFormat="1" applyFont="1" applyFill="1" applyBorder="1" applyAlignment="1">
      <alignment horizontal="center" vertical="top" wrapText="1"/>
    </xf>
    <xf numFmtId="1" fontId="12" fillId="7" borderId="5" xfId="0" applyNumberFormat="1" applyFont="1" applyFill="1" applyBorder="1" applyAlignment="1">
      <alignment horizontal="center" vertical="top" wrapText="1"/>
    </xf>
    <xf numFmtId="1" fontId="12" fillId="8" borderId="6" xfId="0" applyNumberFormat="1" applyFont="1" applyFill="1" applyBorder="1" applyAlignment="1">
      <alignment horizontal="center" vertical="top" wrapText="1"/>
    </xf>
    <xf numFmtId="1" fontId="12" fillId="8" borderId="5" xfId="0" applyNumberFormat="1" applyFont="1" applyFill="1" applyBorder="1" applyAlignment="1">
      <alignment horizontal="center" vertical="top" wrapText="1"/>
    </xf>
    <xf numFmtId="1" fontId="12" fillId="9" borderId="6" xfId="0" applyNumberFormat="1" applyFont="1" applyFill="1" applyBorder="1" applyAlignment="1">
      <alignment horizontal="center" vertical="top" wrapText="1"/>
    </xf>
    <xf numFmtId="1" fontId="12" fillId="9" borderId="73" xfId="0" applyNumberFormat="1" applyFont="1" applyFill="1" applyBorder="1" applyAlignment="1">
      <alignment horizontal="center" vertical="top" wrapText="1"/>
    </xf>
    <xf numFmtId="5" fontId="7" fillId="7" borderId="72" xfId="0" applyNumberFormat="1" applyFont="1" applyFill="1" applyBorder="1" applyAlignment="1">
      <alignment horizontal="center" vertical="center"/>
    </xf>
    <xf numFmtId="5" fontId="7" fillId="7" borderId="71" xfId="0" applyNumberFormat="1" applyFont="1" applyFill="1" applyBorder="1" applyAlignment="1">
      <alignment horizontal="center" vertical="center"/>
    </xf>
    <xf numFmtId="5" fontId="7" fillId="8" borderId="69" xfId="0" applyNumberFormat="1" applyFont="1" applyFill="1" applyBorder="1" applyAlignment="1">
      <alignment horizontal="center" vertical="center"/>
    </xf>
    <xf numFmtId="5" fontId="7" fillId="8" borderId="71" xfId="0" applyNumberFormat="1" applyFont="1" applyFill="1" applyBorder="1" applyAlignment="1">
      <alignment horizontal="center" vertical="center"/>
    </xf>
    <xf numFmtId="5" fontId="7" fillId="9" borderId="69" xfId="0" applyNumberFormat="1" applyFont="1" applyFill="1" applyBorder="1" applyAlignment="1">
      <alignment horizontal="center" vertical="center"/>
    </xf>
    <xf numFmtId="5" fontId="7" fillId="9" borderId="70" xfId="0" applyNumberFormat="1" applyFont="1" applyFill="1" applyBorder="1" applyAlignment="1">
      <alignment horizontal="center" vertical="center"/>
    </xf>
    <xf numFmtId="0" fontId="15" fillId="13" borderId="66" xfId="0" applyFont="1" applyFill="1" applyBorder="1" applyAlignment="1">
      <alignment horizontal="center" vertical="center"/>
    </xf>
    <xf numFmtId="0" fontId="15" fillId="13" borderId="67" xfId="0" applyFont="1" applyFill="1" applyBorder="1" applyAlignment="1">
      <alignment horizontal="center" vertical="center"/>
    </xf>
    <xf numFmtId="0" fontId="15" fillId="13" borderId="68" xfId="0" applyFont="1" applyFill="1" applyBorder="1" applyAlignment="1">
      <alignment horizontal="center" vertical="center"/>
    </xf>
    <xf numFmtId="5" fontId="7" fillId="4" borderId="97" xfId="0" applyNumberFormat="1" applyFont="1" applyFill="1" applyBorder="1" applyAlignment="1">
      <alignment horizontal="center" vertical="center"/>
    </xf>
    <xf numFmtId="5" fontId="7" fillId="4" borderId="95" xfId="0" applyNumberFormat="1" applyFont="1" applyFill="1" applyBorder="1" applyAlignment="1">
      <alignment horizontal="center" vertical="center"/>
    </xf>
    <xf numFmtId="5" fontId="7" fillId="4" borderId="98" xfId="0" applyNumberFormat="1" applyFont="1" applyFill="1" applyBorder="1" applyAlignment="1">
      <alignment horizontal="center" vertical="center"/>
    </xf>
    <xf numFmtId="5" fontId="7" fillId="4" borderId="96" xfId="0" applyNumberFormat="1" applyFont="1" applyFill="1" applyBorder="1" applyAlignment="1">
      <alignment horizontal="center" vertical="center"/>
    </xf>
    <xf numFmtId="5" fontId="7" fillId="4" borderId="91" xfId="0" applyNumberFormat="1" applyFont="1" applyFill="1" applyBorder="1" applyAlignment="1">
      <alignment horizontal="center" vertical="center"/>
    </xf>
    <xf numFmtId="5" fontId="7" fillId="4" borderId="93" xfId="0" applyNumberFormat="1" applyFont="1" applyFill="1" applyBorder="1" applyAlignment="1">
      <alignment horizontal="center" vertical="center"/>
    </xf>
    <xf numFmtId="5" fontId="7" fillId="4" borderId="92" xfId="0" applyNumberFormat="1" applyFont="1" applyFill="1" applyBorder="1" applyAlignment="1">
      <alignment horizontal="center" vertical="center"/>
    </xf>
    <xf numFmtId="5" fontId="7" fillId="4" borderId="94" xfId="0" applyNumberFormat="1" applyFont="1" applyFill="1" applyBorder="1" applyAlignment="1">
      <alignment horizontal="center" vertical="center"/>
    </xf>
    <xf numFmtId="0" fontId="15" fillId="15" borderId="88" xfId="0" applyFont="1" applyFill="1" applyBorder="1" applyAlignment="1">
      <alignment horizontal="center" vertical="center"/>
    </xf>
    <xf numFmtId="0" fontId="15" fillId="15" borderId="89" xfId="0" applyFont="1" applyFill="1" applyBorder="1" applyAlignment="1">
      <alignment horizontal="center" vertical="center"/>
    </xf>
    <xf numFmtId="0" fontId="15" fillId="15" borderId="90" xfId="0" applyFont="1" applyFill="1" applyBorder="1" applyAlignment="1">
      <alignment horizontal="center" vertical="center"/>
    </xf>
    <xf numFmtId="0" fontId="5" fillId="10" borderId="85" xfId="0" applyFont="1" applyFill="1" applyBorder="1" applyAlignment="1">
      <alignment horizontal="center" vertical="center" wrapText="1"/>
    </xf>
    <xf numFmtId="0" fontId="5" fillId="10" borderId="87" xfId="0" applyFont="1" applyFill="1" applyBorder="1" applyAlignment="1">
      <alignment horizontal="center" vertical="center" wrapText="1"/>
    </xf>
    <xf numFmtId="0" fontId="5" fillId="11" borderId="85" xfId="0" applyFont="1" applyFill="1" applyBorder="1" applyAlignment="1">
      <alignment horizontal="center" vertical="center" wrapText="1"/>
    </xf>
    <xf numFmtId="0" fontId="5" fillId="11" borderId="87" xfId="0" applyFont="1" applyFill="1" applyBorder="1" applyAlignment="1">
      <alignment horizontal="center" vertical="center" wrapText="1"/>
    </xf>
    <xf numFmtId="0" fontId="5" fillId="12" borderId="85" xfId="0" applyFont="1" applyFill="1" applyBorder="1" applyAlignment="1">
      <alignment horizontal="center" vertical="center" wrapText="1"/>
    </xf>
    <xf numFmtId="0" fontId="5" fillId="12" borderId="86" xfId="0" applyFont="1" applyFill="1" applyBorder="1" applyAlignment="1">
      <alignment horizontal="center" vertical="center" wrapText="1"/>
    </xf>
    <xf numFmtId="1" fontId="12" fillId="10" borderId="85" xfId="0" applyNumberFormat="1" applyFont="1" applyFill="1" applyBorder="1" applyAlignment="1">
      <alignment horizontal="center" vertical="top" wrapText="1"/>
    </xf>
    <xf numFmtId="1" fontId="12" fillId="10" borderId="87" xfId="0" applyNumberFormat="1" applyFont="1" applyFill="1" applyBorder="1" applyAlignment="1">
      <alignment horizontal="center" vertical="top" wrapText="1"/>
    </xf>
    <xf numFmtId="1" fontId="12" fillId="11" borderId="85" xfId="0" applyNumberFormat="1" applyFont="1" applyFill="1" applyBorder="1" applyAlignment="1">
      <alignment horizontal="center" vertical="top" wrapText="1"/>
    </xf>
    <xf numFmtId="1" fontId="12" fillId="11" borderId="87" xfId="0" applyNumberFormat="1" applyFont="1" applyFill="1" applyBorder="1" applyAlignment="1">
      <alignment horizontal="center" vertical="top" wrapText="1"/>
    </xf>
    <xf numFmtId="1" fontId="12" fillId="12" borderId="85" xfId="0" applyNumberFormat="1" applyFont="1" applyFill="1" applyBorder="1" applyAlignment="1">
      <alignment horizontal="center" vertical="top" wrapText="1"/>
    </xf>
    <xf numFmtId="1" fontId="12" fillId="12" borderId="86" xfId="0" applyNumberFormat="1" applyFont="1" applyFill="1" applyBorder="1" applyAlignment="1">
      <alignment horizontal="center" vertical="top" wrapText="1"/>
    </xf>
    <xf numFmtId="5" fontId="7" fillId="10" borderId="82" xfId="0" applyNumberFormat="1" applyFont="1" applyFill="1" applyBorder="1" applyAlignment="1">
      <alignment horizontal="center" vertical="center"/>
    </xf>
    <xf numFmtId="5" fontId="7" fillId="10" borderId="84" xfId="0" applyNumberFormat="1" applyFont="1" applyFill="1" applyBorder="1" applyAlignment="1">
      <alignment horizontal="center" vertical="center"/>
    </xf>
    <xf numFmtId="5" fontId="7" fillId="11" borderId="82" xfId="0" applyNumberFormat="1" applyFont="1" applyFill="1" applyBorder="1" applyAlignment="1">
      <alignment horizontal="center" vertical="center"/>
    </xf>
    <xf numFmtId="5" fontId="7" fillId="11" borderId="84" xfId="0" applyNumberFormat="1" applyFont="1" applyFill="1" applyBorder="1" applyAlignment="1">
      <alignment horizontal="center" vertical="center"/>
    </xf>
    <xf numFmtId="5" fontId="7" fillId="12" borderId="82" xfId="0" applyNumberFormat="1" applyFont="1" applyFill="1" applyBorder="1" applyAlignment="1">
      <alignment horizontal="center" vertical="center"/>
    </xf>
    <xf numFmtId="5" fontId="7" fillId="12" borderId="83" xfId="0" applyNumberFormat="1" applyFont="1" applyFill="1" applyBorder="1" applyAlignment="1">
      <alignment horizontal="center" vertical="center"/>
    </xf>
    <xf numFmtId="5" fontId="7" fillId="4" borderId="76" xfId="0" applyNumberFormat="1" applyFont="1" applyFill="1" applyBorder="1" applyAlignment="1">
      <alignment horizontal="center" vertical="center"/>
    </xf>
    <xf numFmtId="5" fontId="7" fillId="4" borderId="80" xfId="0" applyNumberFormat="1" applyFont="1" applyFill="1" applyBorder="1" applyAlignment="1">
      <alignment horizontal="center" vertical="center"/>
    </xf>
    <xf numFmtId="5" fontId="7" fillId="4" borderId="78" xfId="0" applyNumberFormat="1" applyFont="1" applyFill="1" applyBorder="1" applyAlignment="1">
      <alignment horizontal="center" vertical="center"/>
    </xf>
    <xf numFmtId="5" fontId="7" fillId="4" borderId="81" xfId="0" applyNumberFormat="1" applyFont="1" applyFill="1" applyBorder="1" applyAlignment="1">
      <alignment horizontal="center" vertical="center"/>
    </xf>
    <xf numFmtId="5" fontId="7" fillId="4" borderId="77" xfId="0" applyNumberFormat="1" applyFont="1" applyFill="1" applyBorder="1" applyAlignment="1">
      <alignment horizontal="center" vertical="center"/>
    </xf>
    <xf numFmtId="5" fontId="7" fillId="4" borderId="79" xfId="0" applyNumberFormat="1" applyFont="1" applyFill="1" applyBorder="1" applyAlignment="1">
      <alignment horizontal="center" vertical="center"/>
    </xf>
    <xf numFmtId="42" fontId="4" fillId="21" borderId="9" xfId="0" applyNumberFormat="1" applyFont="1" applyFill="1" applyBorder="1" applyAlignment="1">
      <alignment horizontal="center" vertical="center"/>
    </xf>
    <xf numFmtId="42" fontId="4" fillId="21" borderId="10" xfId="0" applyNumberFormat="1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top" wrapText="1"/>
    </xf>
    <xf numFmtId="1" fontId="12" fillId="5" borderId="7" xfId="0" applyNumberFormat="1" applyFont="1" applyFill="1" applyBorder="1" applyAlignment="1">
      <alignment horizontal="center" vertical="top" wrapText="1"/>
    </xf>
    <xf numFmtId="5" fontId="7" fillId="5" borderId="99" xfId="0" applyNumberFormat="1" applyFont="1" applyFill="1" applyBorder="1" applyAlignment="1">
      <alignment horizontal="center" vertical="center"/>
    </xf>
    <xf numFmtId="5" fontId="7" fillId="5" borderId="18" xfId="0" applyNumberFormat="1" applyFont="1" applyFill="1" applyBorder="1" applyAlignment="1">
      <alignment horizontal="center" vertical="center"/>
    </xf>
    <xf numFmtId="0" fontId="15" fillId="14" borderId="100" xfId="0" applyFont="1" applyFill="1" applyBorder="1" applyAlignment="1">
      <alignment horizontal="center" vertical="center"/>
    </xf>
    <xf numFmtId="0" fontId="15" fillId="14" borderId="101" xfId="0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/>
    </xf>
    <xf numFmtId="0" fontId="5" fillId="7" borderId="7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73" xfId="0" applyFont="1" applyFill="1" applyBorder="1" applyAlignment="1">
      <alignment horizontal="center" vertical="center" wrapText="1"/>
    </xf>
    <xf numFmtId="5" fontId="7" fillId="6" borderId="99" xfId="0" applyNumberFormat="1" applyFont="1" applyFill="1" applyBorder="1" applyAlignment="1">
      <alignment horizontal="center" vertical="center"/>
    </xf>
    <xf numFmtId="5" fontId="7" fillId="6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16" borderId="111" xfId="0" applyFont="1" applyFill="1" applyBorder="1" applyAlignment="1">
      <alignment horizontal="center" vertical="center" wrapText="1"/>
    </xf>
    <xf numFmtId="0" fontId="3" fillId="16" borderId="112" xfId="0" applyFont="1" applyFill="1" applyBorder="1" applyAlignment="1">
      <alignment horizontal="center" vertical="center" wrapText="1"/>
    </xf>
    <xf numFmtId="0" fontId="3" fillId="16" borderId="113" xfId="0" applyFont="1" applyFill="1" applyBorder="1" applyAlignment="1">
      <alignment horizontal="center" vertical="center" wrapText="1"/>
    </xf>
    <xf numFmtId="0" fontId="3" fillId="16" borderId="114" xfId="0" applyFont="1" applyFill="1" applyBorder="1" applyAlignment="1">
      <alignment horizontal="center" vertical="center" wrapText="1"/>
    </xf>
    <xf numFmtId="0" fontId="6" fillId="2" borderId="109" xfId="0" applyFont="1" applyFill="1" applyBorder="1" applyAlignment="1">
      <alignment horizontal="left" vertical="center" wrapText="1"/>
    </xf>
    <xf numFmtId="0" fontId="6" fillId="2" borderId="110" xfId="0" applyFont="1" applyFill="1" applyBorder="1" applyAlignment="1">
      <alignment horizontal="left" vertical="center" wrapText="1"/>
    </xf>
    <xf numFmtId="0" fontId="23" fillId="0" borderId="109" xfId="0" applyFont="1" applyBorder="1" applyAlignment="1">
      <alignment horizontal="right" vertical="center" wrapText="1"/>
    </xf>
    <xf numFmtId="0" fontId="23" fillId="0" borderId="110" xfId="0" applyFont="1" applyBorder="1" applyAlignment="1">
      <alignment horizontal="right" vertical="center" wrapText="1"/>
    </xf>
    <xf numFmtId="0" fontId="18" fillId="17" borderId="109" xfId="0" applyFont="1" applyFill="1" applyBorder="1" applyAlignment="1">
      <alignment horizontal="left" vertical="center" wrapText="1"/>
    </xf>
    <xf numFmtId="0" fontId="18" fillId="17" borderId="110" xfId="0" applyFont="1" applyFill="1" applyBorder="1" applyAlignment="1">
      <alignment horizontal="left" vertical="center" wrapText="1"/>
    </xf>
    <xf numFmtId="0" fontId="6" fillId="0" borderId="109" xfId="0" applyFont="1" applyBorder="1" applyAlignment="1">
      <alignment vertical="center" wrapText="1"/>
    </xf>
    <xf numFmtId="0" fontId="6" fillId="0" borderId="110" xfId="0" applyFont="1" applyBorder="1" applyAlignment="1">
      <alignment vertical="center" wrapText="1"/>
    </xf>
    <xf numFmtId="0" fontId="5" fillId="4" borderId="10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1" fontId="12" fillId="4" borderId="108" xfId="0" applyNumberFormat="1" applyFont="1" applyFill="1" applyBorder="1" applyAlignment="1">
      <alignment horizontal="center" vertical="top" wrapText="1"/>
    </xf>
    <xf numFmtId="1" fontId="12" fillId="4" borderId="7" xfId="0" applyNumberFormat="1" applyFont="1" applyFill="1" applyBorder="1" applyAlignment="1">
      <alignment horizontal="center" vertical="top" wrapText="1"/>
    </xf>
    <xf numFmtId="5" fontId="7" fillId="4" borderId="107" xfId="0" applyNumberFormat="1" applyFont="1" applyFill="1" applyBorder="1" applyAlignment="1">
      <alignment horizontal="center" vertical="center"/>
    </xf>
    <xf numFmtId="5" fontId="7" fillId="4" borderId="18" xfId="0" applyNumberFormat="1" applyFont="1" applyFill="1" applyBorder="1" applyAlignment="1">
      <alignment horizontal="center" vertical="center"/>
    </xf>
    <xf numFmtId="5" fontId="7" fillId="4" borderId="105" xfId="0" applyNumberFormat="1" applyFont="1" applyFill="1" applyBorder="1" applyAlignment="1">
      <alignment horizontal="center" vertical="center"/>
    </xf>
    <xf numFmtId="5" fontId="7" fillId="4" borderId="103" xfId="0" applyNumberFormat="1" applyFont="1" applyFill="1" applyBorder="1" applyAlignment="1">
      <alignment horizontal="center" vertical="center"/>
    </xf>
    <xf numFmtId="5" fontId="7" fillId="4" borderId="106" xfId="0" applyNumberFormat="1" applyFont="1" applyFill="1" applyBorder="1" applyAlignment="1">
      <alignment horizontal="center" vertical="center"/>
    </xf>
    <xf numFmtId="5" fontId="7" fillId="4" borderId="8" xfId="0" applyNumberFormat="1" applyFont="1" applyFill="1" applyBorder="1" applyAlignment="1">
      <alignment horizontal="center" vertical="center"/>
    </xf>
    <xf numFmtId="5" fontId="7" fillId="4" borderId="102" xfId="0" applyNumberFormat="1" applyFont="1" applyFill="1" applyBorder="1" applyAlignment="1">
      <alignment horizontal="center" vertical="center"/>
    </xf>
    <xf numFmtId="5" fontId="7" fillId="4" borderId="104" xfId="0" applyNumberFormat="1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1" fontId="12" fillId="6" borderId="34" xfId="0" applyNumberFormat="1" applyFont="1" applyFill="1" applyBorder="1" applyAlignment="1">
      <alignment horizontal="center" vertical="top" wrapText="1"/>
    </xf>
    <xf numFmtId="1" fontId="12" fillId="6" borderId="7" xfId="0" applyNumberFormat="1" applyFont="1" applyFill="1" applyBorder="1" applyAlignment="1">
      <alignment horizontal="center" vertical="top" wrapText="1"/>
    </xf>
    <xf numFmtId="0" fontId="26" fillId="0" borderId="0" xfId="0" applyFont="1" applyAlignment="1">
      <alignment horizontal="left"/>
    </xf>
  </cellXfs>
  <cellStyles count="5">
    <cellStyle name="Currency" xfId="4" builtinId="4"/>
    <cellStyle name="Hyperlink" xfId="1" builtinId="8"/>
    <cellStyle name="Normal" xfId="0" builtinId="0"/>
    <cellStyle name="Normal 10 8" xfId="3" xr:uid="{53AC0971-6488-4451-879D-173D385DA9F1}"/>
    <cellStyle name="Normal 2" xfId="2" xr:uid="{00000000-0005-0000-0000-00000B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avid.m.mcnamara3.civ@army.mil" TargetMode="External"/><Relationship Id="rId1" Type="http://schemas.openxmlformats.org/officeDocument/2006/relationships/hyperlink" Target="mailto:pratheek.ramakrin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T52"/>
  <sheetViews>
    <sheetView topLeftCell="J7" zoomScaleNormal="100" workbookViewId="0">
      <selection activeCell="C6" sqref="C6:H6"/>
    </sheetView>
  </sheetViews>
  <sheetFormatPr defaultRowHeight="14.4" x14ac:dyDescent="0.3"/>
  <cols>
    <col min="1" max="1" width="21.88671875" style="75" customWidth="1"/>
    <col min="2" max="2" width="7.88671875" bestFit="1" customWidth="1"/>
    <col min="3" max="3" width="14.109375" hidden="1" customWidth="1"/>
    <col min="4" max="4" width="23.5546875" customWidth="1"/>
    <col min="5" max="5" width="9.5546875" hidden="1" customWidth="1"/>
    <col min="6" max="6" width="23.5546875" customWidth="1"/>
    <col min="7" max="7" width="9.5546875" hidden="1" customWidth="1"/>
    <col min="8" max="8" width="22.109375" customWidth="1"/>
    <col min="9" max="9" width="9.5546875" hidden="1" customWidth="1"/>
    <col min="10" max="10" width="22" customWidth="1"/>
    <col min="11" max="11" width="9.5546875" hidden="1" customWidth="1"/>
    <col min="12" max="12" width="21" customWidth="1"/>
    <col min="13" max="13" width="10.109375" hidden="1" customWidth="1"/>
    <col min="14" max="14" width="23.44140625" customWidth="1"/>
    <col min="15" max="15" width="10.109375" hidden="1" customWidth="1"/>
    <col min="16" max="16" width="21.44140625" customWidth="1"/>
    <col min="17" max="17" width="10.109375" hidden="1" customWidth="1"/>
    <col min="18" max="18" width="20.44140625" customWidth="1"/>
    <col min="19" max="19" width="10.109375" hidden="1" customWidth="1"/>
    <col min="20" max="20" width="22.5546875" customWidth="1"/>
  </cols>
  <sheetData>
    <row r="1" spans="1:72" s="3" customFormat="1" ht="40.35" customHeight="1" thickBot="1" x14ac:dyDescent="0.35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80"/>
    </row>
    <row r="2" spans="1:72" s="1" customFormat="1" ht="35.1" customHeight="1" x14ac:dyDescent="0.3">
      <c r="A2" s="170" t="s">
        <v>1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</row>
    <row r="3" spans="1:72" s="5" customFormat="1" ht="59.1" customHeight="1" thickBot="1" x14ac:dyDescent="0.35">
      <c r="A3" s="173" t="s">
        <v>2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</row>
    <row r="4" spans="1:72" ht="57.6" customHeight="1" thickTop="1" thickBot="1" x14ac:dyDescent="0.35">
      <c r="A4" s="166" t="s">
        <v>3</v>
      </c>
      <c r="B4" s="167"/>
      <c r="C4" s="177"/>
      <c r="D4" s="166" t="s">
        <v>4</v>
      </c>
      <c r="E4" s="168"/>
      <c r="F4" s="168"/>
      <c r="G4" s="176"/>
      <c r="H4" s="166" t="s">
        <v>5</v>
      </c>
      <c r="I4" s="167"/>
      <c r="J4" s="167"/>
      <c r="K4" s="168"/>
      <c r="L4" s="163" t="s">
        <v>6</v>
      </c>
      <c r="M4" s="164"/>
      <c r="N4" s="165"/>
    </row>
    <row r="5" spans="1:72" ht="57.6" customHeight="1" thickTop="1" thickBot="1" x14ac:dyDescent="0.35">
      <c r="A5" s="166" t="s">
        <v>7</v>
      </c>
      <c r="B5" s="168"/>
      <c r="C5" s="176"/>
      <c r="D5" s="166" t="s">
        <v>8</v>
      </c>
      <c r="E5" s="168"/>
      <c r="F5" s="168"/>
      <c r="G5" s="176"/>
      <c r="H5" s="166" t="s">
        <v>9</v>
      </c>
      <c r="I5" s="167"/>
      <c r="J5" s="167"/>
      <c r="K5" s="168"/>
      <c r="L5" s="169"/>
      <c r="M5" s="164"/>
      <c r="N5" s="165"/>
    </row>
    <row r="6" spans="1:72" s="1" customFormat="1" ht="25.35" customHeight="1" thickTop="1" x14ac:dyDescent="0.3">
      <c r="A6" s="268" t="s">
        <v>10</v>
      </c>
      <c r="B6" s="269"/>
      <c r="C6" s="209" t="s">
        <v>11</v>
      </c>
      <c r="D6" s="210"/>
      <c r="E6" s="210"/>
      <c r="F6" s="210"/>
      <c r="G6" s="210"/>
      <c r="H6" s="211"/>
      <c r="I6" s="255" t="s">
        <v>12</v>
      </c>
      <c r="J6" s="256"/>
      <c r="K6" s="256"/>
      <c r="L6" s="256"/>
      <c r="M6" s="256"/>
      <c r="N6" s="257"/>
      <c r="O6" s="220" t="s">
        <v>13</v>
      </c>
      <c r="P6" s="221"/>
      <c r="Q6" s="221"/>
      <c r="R6" s="221"/>
      <c r="S6" s="221"/>
      <c r="T6" s="222"/>
    </row>
    <row r="7" spans="1:72" s="1" customFormat="1" ht="56.4" customHeight="1" x14ac:dyDescent="0.3">
      <c r="A7" s="270"/>
      <c r="B7" s="271"/>
      <c r="C7" s="280" t="s">
        <v>14</v>
      </c>
      <c r="D7" s="281"/>
      <c r="E7" s="249" t="s">
        <v>15</v>
      </c>
      <c r="F7" s="250"/>
      <c r="G7" s="292" t="s">
        <v>16</v>
      </c>
      <c r="H7" s="293"/>
      <c r="I7" s="258" t="s">
        <v>17</v>
      </c>
      <c r="J7" s="259"/>
      <c r="K7" s="260" t="s">
        <v>18</v>
      </c>
      <c r="L7" s="261"/>
      <c r="M7" s="262" t="s">
        <v>19</v>
      </c>
      <c r="N7" s="263"/>
      <c r="O7" s="223" t="s">
        <v>20</v>
      </c>
      <c r="P7" s="224"/>
      <c r="Q7" s="225" t="s">
        <v>21</v>
      </c>
      <c r="R7" s="226"/>
      <c r="S7" s="227" t="s">
        <v>22</v>
      </c>
      <c r="T7" s="228"/>
    </row>
    <row r="8" spans="1:72" s="4" customFormat="1" ht="122.4" customHeight="1" x14ac:dyDescent="0.3">
      <c r="A8" s="276" t="s">
        <v>23</v>
      </c>
      <c r="B8" s="277"/>
      <c r="C8" s="282" t="s">
        <v>24</v>
      </c>
      <c r="D8" s="283"/>
      <c r="E8" s="251" t="s">
        <v>25</v>
      </c>
      <c r="F8" s="252"/>
      <c r="G8" s="294" t="s">
        <v>26</v>
      </c>
      <c r="H8" s="295"/>
      <c r="I8" s="197" t="s">
        <v>24</v>
      </c>
      <c r="J8" s="198"/>
      <c r="K8" s="199" t="s">
        <v>25</v>
      </c>
      <c r="L8" s="200"/>
      <c r="M8" s="201" t="s">
        <v>26</v>
      </c>
      <c r="N8" s="202"/>
      <c r="O8" s="229" t="s">
        <v>24</v>
      </c>
      <c r="P8" s="230"/>
      <c r="Q8" s="231" t="s">
        <v>25</v>
      </c>
      <c r="R8" s="232"/>
      <c r="S8" s="233" t="s">
        <v>26</v>
      </c>
      <c r="T8" s="234"/>
    </row>
    <row r="9" spans="1:72" s="1" customFormat="1" ht="58.35" customHeight="1" thickBot="1" x14ac:dyDescent="0.35">
      <c r="A9" s="278" t="s">
        <v>27</v>
      </c>
      <c r="B9" s="279"/>
      <c r="C9" s="284">
        <v>27277</v>
      </c>
      <c r="D9" s="285"/>
      <c r="E9" s="253">
        <v>29205</v>
      </c>
      <c r="F9" s="254"/>
      <c r="G9" s="264">
        <v>30016</v>
      </c>
      <c r="H9" s="265"/>
      <c r="I9" s="203">
        <v>30176</v>
      </c>
      <c r="J9" s="204"/>
      <c r="K9" s="205">
        <v>32918</v>
      </c>
      <c r="L9" s="206"/>
      <c r="M9" s="207">
        <v>34746</v>
      </c>
      <c r="N9" s="208"/>
      <c r="O9" s="235">
        <v>34903</v>
      </c>
      <c r="P9" s="236"/>
      <c r="Q9" s="237">
        <v>36957</v>
      </c>
      <c r="R9" s="238"/>
      <c r="S9" s="239">
        <v>39011</v>
      </c>
      <c r="T9" s="240"/>
    </row>
    <row r="10" spans="1:72" s="1" customFormat="1" ht="18" customHeight="1" thickTop="1" thickBot="1" x14ac:dyDescent="0.35">
      <c r="A10" s="71"/>
      <c r="B10" s="8"/>
      <c r="C10" s="183"/>
      <c r="D10" s="184"/>
      <c r="E10" s="181"/>
      <c r="F10" s="182"/>
      <c r="G10" s="247"/>
      <c r="H10" s="248"/>
      <c r="I10" s="189"/>
      <c r="J10" s="190"/>
      <c r="K10" s="185"/>
      <c r="L10" s="186"/>
      <c r="M10" s="187"/>
      <c r="N10" s="188"/>
      <c r="O10" s="191"/>
      <c r="P10" s="192"/>
      <c r="Q10" s="193"/>
      <c r="R10" s="194"/>
      <c r="S10" s="195"/>
      <c r="T10" s="196"/>
    </row>
    <row r="11" spans="1:72" s="1" customFormat="1" ht="18" customHeight="1" thickTop="1" x14ac:dyDescent="0.3">
      <c r="A11" s="272" t="s">
        <v>28</v>
      </c>
      <c r="B11" s="273"/>
      <c r="C11" s="286">
        <f>ROUND(C9*(1+B12),0)</f>
        <v>36535</v>
      </c>
      <c r="D11" s="287"/>
      <c r="E11" s="290">
        <f>ROUND(E9*(1+B12),0)</f>
        <v>39117</v>
      </c>
      <c r="F11" s="287"/>
      <c r="G11" s="290">
        <f>ROUND(G9*(1+B12),0)</f>
        <v>40203</v>
      </c>
      <c r="H11" s="287"/>
      <c r="I11" s="212">
        <f>ROUND(I9*(1+B12),0)</f>
        <v>40418</v>
      </c>
      <c r="J11" s="213"/>
      <c r="K11" s="216">
        <f>ROUND(K9*(1+B12),0)</f>
        <v>44090</v>
      </c>
      <c r="L11" s="213"/>
      <c r="M11" s="216">
        <f>ROUND(M9*(1+B12),0)</f>
        <v>46539</v>
      </c>
      <c r="N11" s="218"/>
      <c r="O11" s="241">
        <f>ROUND(O9*(1+B12),0)</f>
        <v>46749</v>
      </c>
      <c r="P11" s="245"/>
      <c r="Q11" s="241">
        <f>ROUND(Q9*(1+B12),0)</f>
        <v>49500</v>
      </c>
      <c r="R11" s="245"/>
      <c r="S11" s="241">
        <f>ROUND(S9*(1+B12),0)</f>
        <v>52251</v>
      </c>
      <c r="T11" s="242"/>
    </row>
    <row r="12" spans="1:72" s="1" customFormat="1" ht="35.4" customHeight="1" x14ac:dyDescent="0.3">
      <c r="A12" s="72" t="s">
        <v>29</v>
      </c>
      <c r="B12" s="9">
        <v>0.33939999999999998</v>
      </c>
      <c r="C12" s="288"/>
      <c r="D12" s="289"/>
      <c r="E12" s="291"/>
      <c r="F12" s="289"/>
      <c r="G12" s="291"/>
      <c r="H12" s="289"/>
      <c r="I12" s="214"/>
      <c r="J12" s="215"/>
      <c r="K12" s="217"/>
      <c r="L12" s="215"/>
      <c r="M12" s="217"/>
      <c r="N12" s="219"/>
      <c r="O12" s="243"/>
      <c r="P12" s="246"/>
      <c r="Q12" s="243"/>
      <c r="R12" s="246"/>
      <c r="S12" s="243"/>
      <c r="T12" s="244"/>
    </row>
    <row r="13" spans="1:72" s="1" customFormat="1" ht="32.1" customHeight="1" x14ac:dyDescent="0.3">
      <c r="A13" s="274" t="s">
        <v>30</v>
      </c>
      <c r="B13" s="275"/>
      <c r="C13" s="7" t="s">
        <v>31</v>
      </c>
      <c r="D13" s="13" t="s">
        <v>32</v>
      </c>
      <c r="E13" s="14" t="s">
        <v>31</v>
      </c>
      <c r="F13" s="13" t="s">
        <v>32</v>
      </c>
      <c r="G13" s="12" t="s">
        <v>31</v>
      </c>
      <c r="H13" s="21" t="s">
        <v>32</v>
      </c>
      <c r="I13" s="22" t="s">
        <v>31</v>
      </c>
      <c r="J13" s="23" t="s">
        <v>32</v>
      </c>
      <c r="K13" s="24" t="s">
        <v>31</v>
      </c>
      <c r="L13" s="25" t="s">
        <v>32</v>
      </c>
      <c r="M13" s="26" t="s">
        <v>33</v>
      </c>
      <c r="N13" s="30" t="s">
        <v>32</v>
      </c>
      <c r="O13" s="31" t="s">
        <v>33</v>
      </c>
      <c r="P13" s="32" t="s">
        <v>32</v>
      </c>
      <c r="Q13" s="33" t="s">
        <v>33</v>
      </c>
      <c r="R13" s="34" t="s">
        <v>32</v>
      </c>
      <c r="S13" s="35" t="s">
        <v>33</v>
      </c>
      <c r="T13" s="36" t="s">
        <v>32</v>
      </c>
    </row>
    <row r="14" spans="1:72" s="2" customFormat="1" ht="28.35" customHeight="1" x14ac:dyDescent="0.3">
      <c r="A14" s="73" t="s">
        <v>34</v>
      </c>
      <c r="B14" s="40">
        <v>1</v>
      </c>
      <c r="C14" s="10">
        <f>($C$11/260)*(5*$B14)</f>
        <v>702.59615384615381</v>
      </c>
      <c r="D14" s="65">
        <f>(697.23/5)</f>
        <v>139.446</v>
      </c>
      <c r="E14" s="15">
        <f>($E$11/260)*(5*$B14)</f>
        <v>752.25</v>
      </c>
      <c r="F14" s="65">
        <f>(746.51/5)</f>
        <v>149.30199999999999</v>
      </c>
      <c r="G14" s="11">
        <f>($G$11/260)*(5*$B14)</f>
        <v>773.13461538461536</v>
      </c>
      <c r="H14" s="66">
        <f>(767.23/5)</f>
        <v>153.446</v>
      </c>
      <c r="I14" s="27">
        <f>($I$11/260)*(5*$B14)</f>
        <v>777.26923076923072</v>
      </c>
      <c r="J14" s="67">
        <f>(777.27/5)</f>
        <v>155.45400000000001</v>
      </c>
      <c r="K14" s="28">
        <f>($K$11/260)*(5*$B14)</f>
        <v>847.88461538461536</v>
      </c>
      <c r="L14" s="67">
        <f>(847.88/5)</f>
        <v>169.57599999999999</v>
      </c>
      <c r="M14" s="29">
        <f>($M$11/260)*(5*$B14)</f>
        <v>894.98076923076928</v>
      </c>
      <c r="N14" s="68">
        <f>(894.98/5)</f>
        <v>178.99600000000001</v>
      </c>
      <c r="O14" s="37">
        <f>($O$11/260)*(5*$B14)</f>
        <v>899.01923076923083</v>
      </c>
      <c r="P14" s="69">
        <f>(899.02/5)</f>
        <v>179.804</v>
      </c>
      <c r="Q14" s="38">
        <f>($Q$11/260)*(5*$B14)</f>
        <v>951.92307692307691</v>
      </c>
      <c r="R14" s="69">
        <f>(951.92/5)</f>
        <v>190.38399999999999</v>
      </c>
      <c r="S14" s="39">
        <f>($S$11/260)*(5*$B14)</f>
        <v>1004.8269230769231</v>
      </c>
      <c r="T14" s="70">
        <f>(1004.83/5)</f>
        <v>200.96600000000001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s="1" customFormat="1" ht="18" customHeight="1" x14ac:dyDescent="0.3">
      <c r="A15" s="73" t="s">
        <v>34</v>
      </c>
      <c r="B15" s="41">
        <v>2</v>
      </c>
      <c r="C15" s="10">
        <f t="shared" ref="C15:C44" si="0">($C$11/260)*(5*$B15)</f>
        <v>1405.1923076923076</v>
      </c>
      <c r="D15" s="52">
        <f>D14*2</f>
        <v>278.892</v>
      </c>
      <c r="E15" s="62">
        <f>B15*E$14</f>
        <v>1504.5</v>
      </c>
      <c r="F15" s="49">
        <f>F14*2</f>
        <v>298.60399999999998</v>
      </c>
      <c r="G15" s="11">
        <f>B15*G$14</f>
        <v>1546.2692307692307</v>
      </c>
      <c r="H15" s="44">
        <f>H14*2</f>
        <v>306.892</v>
      </c>
      <c r="I15" s="27">
        <f>B15*I$14</f>
        <v>1554.5384615384614</v>
      </c>
      <c r="J15" s="47">
        <f>J14*2</f>
        <v>310.90800000000002</v>
      </c>
      <c r="K15" s="28">
        <f>B15*K$14</f>
        <v>1695.7692307692307</v>
      </c>
      <c r="L15" s="48">
        <f>L14*2</f>
        <v>339.15199999999999</v>
      </c>
      <c r="M15" s="29">
        <f>B15*M$14</f>
        <v>1789.9615384615386</v>
      </c>
      <c r="N15" s="55">
        <f>N14*2</f>
        <v>357.99200000000002</v>
      </c>
      <c r="O15" s="37">
        <f>B15*O$14</f>
        <v>1798.0384615384617</v>
      </c>
      <c r="P15" s="56">
        <f>P14*2</f>
        <v>359.608</v>
      </c>
      <c r="Q15" s="38">
        <f>B15*Q$14</f>
        <v>1903.8461538461538</v>
      </c>
      <c r="R15" s="57">
        <f>R14*2</f>
        <v>380.76799999999997</v>
      </c>
      <c r="S15" s="39">
        <f>B15*S$14</f>
        <v>2009.6538461538462</v>
      </c>
      <c r="T15" s="58">
        <f>T14*2</f>
        <v>401.93200000000002</v>
      </c>
    </row>
    <row r="16" spans="1:72" s="1" customFormat="1" ht="18" customHeight="1" x14ac:dyDescent="0.3">
      <c r="A16" s="73" t="s">
        <v>34</v>
      </c>
      <c r="B16" s="41">
        <v>3</v>
      </c>
      <c r="C16" s="10">
        <f t="shared" si="0"/>
        <v>2107.7884615384614</v>
      </c>
      <c r="D16" s="52">
        <f>D14*3</f>
        <v>418.33799999999997</v>
      </c>
      <c r="E16" s="62">
        <f t="shared" ref="E16:E33" si="1">B16*E$14</f>
        <v>2256.75</v>
      </c>
      <c r="F16" s="49">
        <f>F14*3</f>
        <v>447.90599999999995</v>
      </c>
      <c r="G16" s="11">
        <f t="shared" ref="G16:G33" si="2">B16*G$14</f>
        <v>2319.4038461538462</v>
      </c>
      <c r="H16" s="44">
        <f>H14*3</f>
        <v>460.33799999999997</v>
      </c>
      <c r="I16" s="27">
        <f t="shared" ref="I16:I33" si="3">B16*I$14</f>
        <v>2331.8076923076924</v>
      </c>
      <c r="J16" s="47">
        <f>J14*3</f>
        <v>466.36200000000002</v>
      </c>
      <c r="K16" s="28">
        <f t="shared" ref="K16:K33" si="4">B16*K$14</f>
        <v>2543.6538461538462</v>
      </c>
      <c r="L16" s="48">
        <f>L14*3</f>
        <v>508.72799999999995</v>
      </c>
      <c r="M16" s="29">
        <f t="shared" ref="M16:M33" si="5">B16*M$14</f>
        <v>2684.9423076923076</v>
      </c>
      <c r="N16" s="55">
        <f>N14*3</f>
        <v>536.98800000000006</v>
      </c>
      <c r="O16" s="37">
        <f t="shared" ref="O16:O33" si="6">B16*O$14</f>
        <v>2697.0576923076924</v>
      </c>
      <c r="P16" s="56">
        <f>P14*3</f>
        <v>539.41200000000003</v>
      </c>
      <c r="Q16" s="38">
        <f t="shared" ref="Q16:Q33" si="7">B16*Q$14</f>
        <v>2855.7692307692305</v>
      </c>
      <c r="R16" s="57">
        <f>R14*3</f>
        <v>571.15199999999993</v>
      </c>
      <c r="S16" s="39">
        <f t="shared" ref="S16:S33" si="8">B16*S$14</f>
        <v>3014.4807692307695</v>
      </c>
      <c r="T16" s="58">
        <f>T14*3</f>
        <v>602.89800000000002</v>
      </c>
    </row>
    <row r="17" spans="1:20" s="1" customFormat="1" ht="18" customHeight="1" x14ac:dyDescent="0.3">
      <c r="A17" s="73" t="s">
        <v>34</v>
      </c>
      <c r="B17" s="41">
        <v>4</v>
      </c>
      <c r="C17" s="10">
        <f t="shared" si="0"/>
        <v>2810.3846153846152</v>
      </c>
      <c r="D17" s="52">
        <f>D14*4</f>
        <v>557.78399999999999</v>
      </c>
      <c r="E17" s="62">
        <f t="shared" si="1"/>
        <v>3009</v>
      </c>
      <c r="F17" s="49">
        <f>F14*4</f>
        <v>597.20799999999997</v>
      </c>
      <c r="G17" s="11">
        <f t="shared" si="2"/>
        <v>3092.5384615384614</v>
      </c>
      <c r="H17" s="44">
        <f>H14*4</f>
        <v>613.78399999999999</v>
      </c>
      <c r="I17" s="27">
        <f t="shared" si="3"/>
        <v>3109.0769230769229</v>
      </c>
      <c r="J17" s="47">
        <f>J14*4</f>
        <v>621.81600000000003</v>
      </c>
      <c r="K17" s="28">
        <f t="shared" si="4"/>
        <v>3391.5384615384614</v>
      </c>
      <c r="L17" s="48">
        <f>L14*4</f>
        <v>678.30399999999997</v>
      </c>
      <c r="M17" s="29">
        <f t="shared" si="5"/>
        <v>3579.9230769230771</v>
      </c>
      <c r="N17" s="55">
        <f>N14*4</f>
        <v>715.98400000000004</v>
      </c>
      <c r="O17" s="37">
        <f t="shared" si="6"/>
        <v>3596.0769230769233</v>
      </c>
      <c r="P17" s="56">
        <f>P14*4</f>
        <v>719.21600000000001</v>
      </c>
      <c r="Q17" s="38">
        <f t="shared" si="7"/>
        <v>3807.6923076923076</v>
      </c>
      <c r="R17" s="57">
        <f>R14*4</f>
        <v>761.53599999999994</v>
      </c>
      <c r="S17" s="39">
        <f t="shared" si="8"/>
        <v>4019.3076923076924</v>
      </c>
      <c r="T17" s="58">
        <f>T14*4</f>
        <v>803.86400000000003</v>
      </c>
    </row>
    <row r="18" spans="1:20" s="1" customFormat="1" ht="18" customHeight="1" x14ac:dyDescent="0.3">
      <c r="A18" s="73" t="s">
        <v>34</v>
      </c>
      <c r="B18" s="41">
        <v>5</v>
      </c>
      <c r="C18" s="10">
        <f t="shared" si="0"/>
        <v>3512.9807692307695</v>
      </c>
      <c r="D18" s="52">
        <f>D14*5</f>
        <v>697.23</v>
      </c>
      <c r="E18" s="62">
        <f t="shared" si="1"/>
        <v>3761.25</v>
      </c>
      <c r="F18" s="49">
        <f>F14*5</f>
        <v>746.51</v>
      </c>
      <c r="G18" s="11">
        <f t="shared" si="2"/>
        <v>3865.6730769230767</v>
      </c>
      <c r="H18" s="44">
        <f>H14*5</f>
        <v>767.23</v>
      </c>
      <c r="I18" s="27">
        <f t="shared" si="3"/>
        <v>3886.3461538461534</v>
      </c>
      <c r="J18" s="47">
        <f>J14*5</f>
        <v>777.27</v>
      </c>
      <c r="K18" s="28">
        <f t="shared" si="4"/>
        <v>4239.4230769230771</v>
      </c>
      <c r="L18" s="48">
        <f>L14*5</f>
        <v>847.88</v>
      </c>
      <c r="M18" s="29">
        <f t="shared" si="5"/>
        <v>4474.9038461538466</v>
      </c>
      <c r="N18" s="55">
        <f>N14*5</f>
        <v>894.98</v>
      </c>
      <c r="O18" s="37">
        <f t="shared" si="6"/>
        <v>4495.0961538461543</v>
      </c>
      <c r="P18" s="56">
        <f>P14*5</f>
        <v>899.02</v>
      </c>
      <c r="Q18" s="38">
        <f t="shared" si="7"/>
        <v>4759.6153846153848</v>
      </c>
      <c r="R18" s="57">
        <f>R14*5</f>
        <v>951.92</v>
      </c>
      <c r="S18" s="39">
        <f t="shared" si="8"/>
        <v>5024.1346153846152</v>
      </c>
      <c r="T18" s="58">
        <f>T14*5</f>
        <v>1004.83</v>
      </c>
    </row>
    <row r="19" spans="1:20" s="1" customFormat="1" ht="18" customHeight="1" x14ac:dyDescent="0.3">
      <c r="A19" s="73" t="s">
        <v>34</v>
      </c>
      <c r="B19" s="41">
        <v>6</v>
      </c>
      <c r="C19" s="10">
        <f t="shared" si="0"/>
        <v>4215.5769230769229</v>
      </c>
      <c r="D19" s="52">
        <f>D14*6</f>
        <v>836.67599999999993</v>
      </c>
      <c r="E19" s="62">
        <f t="shared" si="1"/>
        <v>4513.5</v>
      </c>
      <c r="F19" s="49">
        <f>F14*6</f>
        <v>895.8119999999999</v>
      </c>
      <c r="G19" s="11">
        <f t="shared" si="2"/>
        <v>4638.8076923076924</v>
      </c>
      <c r="H19" s="44">
        <f>H14*6</f>
        <v>920.67599999999993</v>
      </c>
      <c r="I19" s="27">
        <f t="shared" si="3"/>
        <v>4663.6153846153848</v>
      </c>
      <c r="J19" s="47">
        <f>J14*6</f>
        <v>932.72400000000005</v>
      </c>
      <c r="K19" s="28">
        <f t="shared" si="4"/>
        <v>5087.3076923076924</v>
      </c>
      <c r="L19" s="48">
        <f>L14*6</f>
        <v>1017.4559999999999</v>
      </c>
      <c r="M19" s="29">
        <f t="shared" si="5"/>
        <v>5369.8846153846152</v>
      </c>
      <c r="N19" s="55">
        <f>N14*6</f>
        <v>1073.9760000000001</v>
      </c>
      <c r="O19" s="37">
        <f t="shared" si="6"/>
        <v>5394.1153846153848</v>
      </c>
      <c r="P19" s="56">
        <f>P14*6</f>
        <v>1078.8240000000001</v>
      </c>
      <c r="Q19" s="38">
        <f t="shared" si="7"/>
        <v>5711.538461538461</v>
      </c>
      <c r="R19" s="57">
        <f>R14*6</f>
        <v>1142.3039999999999</v>
      </c>
      <c r="S19" s="39">
        <f t="shared" si="8"/>
        <v>6028.961538461539</v>
      </c>
      <c r="T19" s="58">
        <f>T14*6</f>
        <v>1205.796</v>
      </c>
    </row>
    <row r="20" spans="1:20" s="1" customFormat="1" ht="18" customHeight="1" x14ac:dyDescent="0.3">
      <c r="A20" s="73" t="s">
        <v>34</v>
      </c>
      <c r="B20" s="41">
        <v>7</v>
      </c>
      <c r="C20" s="10">
        <f t="shared" si="0"/>
        <v>4918.1730769230771</v>
      </c>
      <c r="D20" s="52">
        <f>D14*7</f>
        <v>976.12199999999996</v>
      </c>
      <c r="E20" s="62">
        <f t="shared" si="1"/>
        <v>5265.75</v>
      </c>
      <c r="F20" s="49">
        <f>F14*7</f>
        <v>1045.114</v>
      </c>
      <c r="G20" s="11">
        <f t="shared" si="2"/>
        <v>5411.9423076923076</v>
      </c>
      <c r="H20" s="44">
        <f>H14*7</f>
        <v>1074.1220000000001</v>
      </c>
      <c r="I20" s="27">
        <f t="shared" si="3"/>
        <v>5440.8846153846152</v>
      </c>
      <c r="J20" s="47">
        <f>J14*7</f>
        <v>1088.1780000000001</v>
      </c>
      <c r="K20" s="28">
        <f t="shared" si="4"/>
        <v>5935.1923076923076</v>
      </c>
      <c r="L20" s="48">
        <f>L14*7</f>
        <v>1187.0319999999999</v>
      </c>
      <c r="M20" s="29">
        <f t="shared" si="5"/>
        <v>6264.8653846153848</v>
      </c>
      <c r="N20" s="55">
        <f>N14*7</f>
        <v>1252.972</v>
      </c>
      <c r="O20" s="37">
        <f t="shared" si="6"/>
        <v>6293.1346153846162</v>
      </c>
      <c r="P20" s="56">
        <f>P14*7</f>
        <v>1258.6279999999999</v>
      </c>
      <c r="Q20" s="38">
        <f t="shared" si="7"/>
        <v>6663.4615384615381</v>
      </c>
      <c r="R20" s="57">
        <f>R14*7</f>
        <v>1332.6879999999999</v>
      </c>
      <c r="S20" s="39">
        <f t="shared" si="8"/>
        <v>7033.7884615384619</v>
      </c>
      <c r="T20" s="58">
        <f>T14*7</f>
        <v>1406.7620000000002</v>
      </c>
    </row>
    <row r="21" spans="1:20" s="1" customFormat="1" ht="18" customHeight="1" x14ac:dyDescent="0.3">
      <c r="A21" s="73" t="s">
        <v>34</v>
      </c>
      <c r="B21" s="41">
        <v>8</v>
      </c>
      <c r="C21" s="10">
        <f t="shared" si="0"/>
        <v>5620.7692307692305</v>
      </c>
      <c r="D21" s="52">
        <f>D14*8</f>
        <v>1115.568</v>
      </c>
      <c r="E21" s="62">
        <f t="shared" si="1"/>
        <v>6018</v>
      </c>
      <c r="F21" s="49">
        <f>F14*8</f>
        <v>1194.4159999999999</v>
      </c>
      <c r="G21" s="11">
        <f t="shared" si="2"/>
        <v>6185.0769230769229</v>
      </c>
      <c r="H21" s="44">
        <f>H14*8</f>
        <v>1227.568</v>
      </c>
      <c r="I21" s="27">
        <f t="shared" si="3"/>
        <v>6218.1538461538457</v>
      </c>
      <c r="J21" s="47">
        <f>J14*8</f>
        <v>1243.6320000000001</v>
      </c>
      <c r="K21" s="28">
        <f t="shared" si="4"/>
        <v>6783.0769230769229</v>
      </c>
      <c r="L21" s="48">
        <f>L14*8</f>
        <v>1356.6079999999999</v>
      </c>
      <c r="M21" s="29">
        <f t="shared" si="5"/>
        <v>7159.8461538461543</v>
      </c>
      <c r="N21" s="55">
        <f>N14*8</f>
        <v>1431.9680000000001</v>
      </c>
      <c r="O21" s="37">
        <f t="shared" si="6"/>
        <v>7192.1538461538466</v>
      </c>
      <c r="P21" s="56">
        <f>P14*8</f>
        <v>1438.432</v>
      </c>
      <c r="Q21" s="38">
        <f t="shared" si="7"/>
        <v>7615.3846153846152</v>
      </c>
      <c r="R21" s="57">
        <f>R14*8</f>
        <v>1523.0719999999999</v>
      </c>
      <c r="S21" s="39">
        <f t="shared" si="8"/>
        <v>8038.6153846153848</v>
      </c>
      <c r="T21" s="58">
        <f>T14*8</f>
        <v>1607.7280000000001</v>
      </c>
    </row>
    <row r="22" spans="1:20" s="1" customFormat="1" ht="18" customHeight="1" x14ac:dyDescent="0.3">
      <c r="A22" s="73" t="s">
        <v>34</v>
      </c>
      <c r="B22" s="41">
        <v>9</v>
      </c>
      <c r="C22" s="10">
        <f t="shared" si="0"/>
        <v>6323.3653846153848</v>
      </c>
      <c r="D22" s="52">
        <f>D14*9</f>
        <v>1255.0139999999999</v>
      </c>
      <c r="E22" s="62">
        <f t="shared" si="1"/>
        <v>6770.25</v>
      </c>
      <c r="F22" s="49">
        <f>F14*9</f>
        <v>1343.7179999999998</v>
      </c>
      <c r="G22" s="11">
        <f t="shared" si="2"/>
        <v>6958.2115384615381</v>
      </c>
      <c r="H22" s="44">
        <f>H14*9</f>
        <v>1381.0139999999999</v>
      </c>
      <c r="I22" s="27">
        <f t="shared" si="3"/>
        <v>6995.4230769230762</v>
      </c>
      <c r="J22" s="47">
        <f>J14*9</f>
        <v>1399.086</v>
      </c>
      <c r="K22" s="28">
        <f t="shared" si="4"/>
        <v>7630.9615384615381</v>
      </c>
      <c r="L22" s="48">
        <f>L14*9</f>
        <v>1526.184</v>
      </c>
      <c r="M22" s="29">
        <f t="shared" si="5"/>
        <v>8054.8269230769238</v>
      </c>
      <c r="N22" s="55">
        <f>N14*9</f>
        <v>1610.9640000000002</v>
      </c>
      <c r="O22" s="37">
        <f t="shared" si="6"/>
        <v>8091.1730769230771</v>
      </c>
      <c r="P22" s="56">
        <f>P14*9</f>
        <v>1618.2360000000001</v>
      </c>
      <c r="Q22" s="38">
        <f t="shared" si="7"/>
        <v>8567.3076923076915</v>
      </c>
      <c r="R22" s="57">
        <f>R14*9</f>
        <v>1713.4559999999999</v>
      </c>
      <c r="S22" s="39">
        <f t="shared" si="8"/>
        <v>9043.4423076923085</v>
      </c>
      <c r="T22" s="58">
        <f>T14*9</f>
        <v>1808.694</v>
      </c>
    </row>
    <row r="23" spans="1:20" s="1" customFormat="1" ht="18" customHeight="1" x14ac:dyDescent="0.3">
      <c r="A23" s="73" t="s">
        <v>34</v>
      </c>
      <c r="B23" s="41">
        <v>10</v>
      </c>
      <c r="C23" s="10">
        <f t="shared" si="0"/>
        <v>7025.961538461539</v>
      </c>
      <c r="D23" s="52">
        <f>D14*10</f>
        <v>1394.46</v>
      </c>
      <c r="E23" s="62">
        <f t="shared" si="1"/>
        <v>7522.5</v>
      </c>
      <c r="F23" s="49">
        <f>F14*10</f>
        <v>1493.02</v>
      </c>
      <c r="G23" s="11">
        <f t="shared" si="2"/>
        <v>7731.3461538461534</v>
      </c>
      <c r="H23" s="44">
        <f>H14*10</f>
        <v>1534.46</v>
      </c>
      <c r="I23" s="27">
        <f t="shared" si="3"/>
        <v>7772.6923076923067</v>
      </c>
      <c r="J23" s="47">
        <f>J14*10</f>
        <v>1554.54</v>
      </c>
      <c r="K23" s="28">
        <f t="shared" si="4"/>
        <v>8478.8461538461543</v>
      </c>
      <c r="L23" s="48">
        <f>L14*10</f>
        <v>1695.76</v>
      </c>
      <c r="M23" s="29">
        <f t="shared" si="5"/>
        <v>8949.8076923076933</v>
      </c>
      <c r="N23" s="55">
        <f>N14*10</f>
        <v>1789.96</v>
      </c>
      <c r="O23" s="37">
        <f t="shared" si="6"/>
        <v>8990.1923076923085</v>
      </c>
      <c r="P23" s="56">
        <f>P14*10</f>
        <v>1798.04</v>
      </c>
      <c r="Q23" s="38">
        <f t="shared" si="7"/>
        <v>9519.2307692307695</v>
      </c>
      <c r="R23" s="57">
        <f>R14*10</f>
        <v>1903.84</v>
      </c>
      <c r="S23" s="39">
        <f t="shared" si="8"/>
        <v>10048.26923076923</v>
      </c>
      <c r="T23" s="58">
        <f>T14*10</f>
        <v>2009.66</v>
      </c>
    </row>
    <row r="24" spans="1:20" s="1" customFormat="1" ht="18" customHeight="1" x14ac:dyDescent="0.3">
      <c r="A24" s="73" t="s">
        <v>34</v>
      </c>
      <c r="B24" s="41">
        <v>11</v>
      </c>
      <c r="C24" s="19">
        <f t="shared" si="0"/>
        <v>7728.5576923076924</v>
      </c>
      <c r="D24" s="53">
        <f>D14*11</f>
        <v>1533.9059999999999</v>
      </c>
      <c r="E24" s="63">
        <f t="shared" si="1"/>
        <v>8274.75</v>
      </c>
      <c r="F24" s="50">
        <f>F14*11</f>
        <v>1642.3219999999999</v>
      </c>
      <c r="G24" s="60">
        <f t="shared" si="2"/>
        <v>8504.4807692307695</v>
      </c>
      <c r="H24" s="45">
        <f>H14*11</f>
        <v>1687.9059999999999</v>
      </c>
      <c r="I24" s="27">
        <f t="shared" si="3"/>
        <v>8549.9615384615372</v>
      </c>
      <c r="J24" s="47">
        <f>J14*11</f>
        <v>1709.9940000000001</v>
      </c>
      <c r="K24" s="28">
        <f t="shared" si="4"/>
        <v>9326.7307692307695</v>
      </c>
      <c r="L24" s="48">
        <f>L14*11</f>
        <v>1865.336</v>
      </c>
      <c r="M24" s="29">
        <f t="shared" si="5"/>
        <v>9844.7884615384628</v>
      </c>
      <c r="N24" s="55">
        <f>N14*11</f>
        <v>1968.9560000000001</v>
      </c>
      <c r="O24" s="37">
        <f t="shared" si="6"/>
        <v>9889.211538461539</v>
      </c>
      <c r="P24" s="56">
        <f>P14*11</f>
        <v>1977.8440000000001</v>
      </c>
      <c r="Q24" s="38">
        <f t="shared" si="7"/>
        <v>10471.153846153846</v>
      </c>
      <c r="R24" s="57">
        <f>R14*11</f>
        <v>2094.2239999999997</v>
      </c>
      <c r="S24" s="39">
        <f t="shared" si="8"/>
        <v>11053.096153846154</v>
      </c>
      <c r="T24" s="58">
        <f>T14*11</f>
        <v>2210.6260000000002</v>
      </c>
    </row>
    <row r="25" spans="1:20" s="1" customFormat="1" ht="18" customHeight="1" x14ac:dyDescent="0.3">
      <c r="A25" s="73" t="s">
        <v>34</v>
      </c>
      <c r="B25" s="42">
        <v>12</v>
      </c>
      <c r="C25" s="20">
        <f t="shared" si="0"/>
        <v>8431.1538461538457</v>
      </c>
      <c r="D25" s="54">
        <f>D14*12</f>
        <v>1673.3519999999999</v>
      </c>
      <c r="E25" s="64">
        <f t="shared" si="1"/>
        <v>9027</v>
      </c>
      <c r="F25" s="51">
        <f>F14*12</f>
        <v>1791.6239999999998</v>
      </c>
      <c r="G25" s="61">
        <f t="shared" si="2"/>
        <v>9277.6153846153848</v>
      </c>
      <c r="H25" s="46">
        <f>H14*12</f>
        <v>1841.3519999999999</v>
      </c>
      <c r="I25" s="27">
        <f t="shared" si="3"/>
        <v>9327.2307692307695</v>
      </c>
      <c r="J25" s="47">
        <f>J14*12</f>
        <v>1865.4480000000001</v>
      </c>
      <c r="K25" s="28">
        <f t="shared" si="4"/>
        <v>10174.615384615385</v>
      </c>
      <c r="L25" s="48">
        <f>L14*12</f>
        <v>2034.9119999999998</v>
      </c>
      <c r="M25" s="29">
        <f t="shared" si="5"/>
        <v>10739.76923076923</v>
      </c>
      <c r="N25" s="55">
        <f>N14*12</f>
        <v>2147.9520000000002</v>
      </c>
      <c r="O25" s="37">
        <f t="shared" si="6"/>
        <v>10788.23076923077</v>
      </c>
      <c r="P25" s="56">
        <f>P14*12</f>
        <v>2157.6480000000001</v>
      </c>
      <c r="Q25" s="38">
        <f t="shared" si="7"/>
        <v>11423.076923076922</v>
      </c>
      <c r="R25" s="57">
        <f>R14*12</f>
        <v>2284.6079999999997</v>
      </c>
      <c r="S25" s="39">
        <f t="shared" si="8"/>
        <v>12057.923076923078</v>
      </c>
      <c r="T25" s="58">
        <f>T14*12</f>
        <v>2411.5920000000001</v>
      </c>
    </row>
    <row r="26" spans="1:20" s="1" customFormat="1" ht="18" customHeight="1" x14ac:dyDescent="0.3">
      <c r="A26" s="73" t="s">
        <v>34</v>
      </c>
      <c r="B26" s="42">
        <v>13</v>
      </c>
      <c r="C26" s="20">
        <f t="shared" si="0"/>
        <v>9133.75</v>
      </c>
      <c r="D26" s="54">
        <f>D14*13</f>
        <v>1812.798</v>
      </c>
      <c r="E26" s="64">
        <f t="shared" si="1"/>
        <v>9779.25</v>
      </c>
      <c r="F26" s="51">
        <f>F14*13</f>
        <v>1940.9259999999999</v>
      </c>
      <c r="G26" s="61">
        <f t="shared" si="2"/>
        <v>10050.75</v>
      </c>
      <c r="H26" s="46">
        <f>H14*13</f>
        <v>1994.798</v>
      </c>
      <c r="I26" s="27">
        <f t="shared" si="3"/>
        <v>10104.5</v>
      </c>
      <c r="J26" s="47">
        <f>J14*13</f>
        <v>2020.902</v>
      </c>
      <c r="K26" s="28">
        <f t="shared" si="4"/>
        <v>11022.5</v>
      </c>
      <c r="L26" s="48">
        <f>L14*13</f>
        <v>2204.4879999999998</v>
      </c>
      <c r="M26" s="29">
        <f t="shared" si="5"/>
        <v>11634.75</v>
      </c>
      <c r="N26" s="55">
        <f>N14*13</f>
        <v>2326.9480000000003</v>
      </c>
      <c r="O26" s="37">
        <f t="shared" si="6"/>
        <v>11687.25</v>
      </c>
      <c r="P26" s="56">
        <f>P14*13</f>
        <v>2337.4520000000002</v>
      </c>
      <c r="Q26" s="38">
        <f t="shared" si="7"/>
        <v>12375</v>
      </c>
      <c r="R26" s="57">
        <f>R14*13</f>
        <v>2474.9919999999997</v>
      </c>
      <c r="S26" s="39">
        <f t="shared" si="8"/>
        <v>13062.75</v>
      </c>
      <c r="T26" s="58">
        <f>T14*13</f>
        <v>2612.558</v>
      </c>
    </row>
    <row r="27" spans="1:20" s="1" customFormat="1" ht="18" customHeight="1" x14ac:dyDescent="0.3">
      <c r="A27" s="73" t="s">
        <v>34</v>
      </c>
      <c r="B27" s="42">
        <v>14</v>
      </c>
      <c r="C27" s="20">
        <f t="shared" si="0"/>
        <v>9836.3461538461543</v>
      </c>
      <c r="D27" s="54">
        <f>D14*14</f>
        <v>1952.2439999999999</v>
      </c>
      <c r="E27" s="64">
        <f t="shared" si="1"/>
        <v>10531.5</v>
      </c>
      <c r="F27" s="51">
        <f>F14*14</f>
        <v>2090.2280000000001</v>
      </c>
      <c r="G27" s="61">
        <f t="shared" si="2"/>
        <v>10823.884615384615</v>
      </c>
      <c r="H27" s="46">
        <f>H14*14</f>
        <v>2148.2440000000001</v>
      </c>
      <c r="I27" s="27">
        <f t="shared" si="3"/>
        <v>10881.76923076923</v>
      </c>
      <c r="J27" s="47">
        <f>J14*14</f>
        <v>2176.3560000000002</v>
      </c>
      <c r="K27" s="28">
        <f t="shared" si="4"/>
        <v>11870.384615384615</v>
      </c>
      <c r="L27" s="48">
        <f>L14*14</f>
        <v>2374.0639999999999</v>
      </c>
      <c r="M27" s="29">
        <f t="shared" si="5"/>
        <v>12529.73076923077</v>
      </c>
      <c r="N27" s="55">
        <f>N14*14</f>
        <v>2505.944</v>
      </c>
      <c r="O27" s="37">
        <f t="shared" si="6"/>
        <v>12586.269230769232</v>
      </c>
      <c r="P27" s="56">
        <f>P14*14</f>
        <v>2517.2559999999999</v>
      </c>
      <c r="Q27" s="38">
        <f t="shared" si="7"/>
        <v>13326.923076923076</v>
      </c>
      <c r="R27" s="57">
        <f>R14*14</f>
        <v>2665.3759999999997</v>
      </c>
      <c r="S27" s="39">
        <f t="shared" si="8"/>
        <v>14067.576923076924</v>
      </c>
      <c r="T27" s="58">
        <f>T14*14</f>
        <v>2813.5240000000003</v>
      </c>
    </row>
    <row r="28" spans="1:20" s="1" customFormat="1" ht="18" customHeight="1" x14ac:dyDescent="0.3">
      <c r="A28" s="73" t="s">
        <v>34</v>
      </c>
      <c r="B28" s="42">
        <v>15</v>
      </c>
      <c r="C28" s="20">
        <f t="shared" si="0"/>
        <v>10538.942307692309</v>
      </c>
      <c r="D28" s="54">
        <f>D14*15</f>
        <v>2091.69</v>
      </c>
      <c r="E28" s="64">
        <f t="shared" si="1"/>
        <v>11283.75</v>
      </c>
      <c r="F28" s="51">
        <f>F14*15</f>
        <v>2239.5299999999997</v>
      </c>
      <c r="G28" s="61">
        <f t="shared" si="2"/>
        <v>11597.01923076923</v>
      </c>
      <c r="H28" s="46">
        <f>H14*15</f>
        <v>2301.69</v>
      </c>
      <c r="I28" s="27">
        <f t="shared" si="3"/>
        <v>11659.038461538461</v>
      </c>
      <c r="J28" s="47">
        <f>J14*15</f>
        <v>2331.81</v>
      </c>
      <c r="K28" s="28">
        <f t="shared" si="4"/>
        <v>12718.26923076923</v>
      </c>
      <c r="L28" s="48">
        <f>L14*15</f>
        <v>2543.64</v>
      </c>
      <c r="M28" s="29">
        <f t="shared" si="5"/>
        <v>13424.711538461539</v>
      </c>
      <c r="N28" s="55">
        <f>N14*15</f>
        <v>2684.94</v>
      </c>
      <c r="O28" s="37">
        <f t="shared" si="6"/>
        <v>13485.288461538463</v>
      </c>
      <c r="P28" s="56">
        <f>P14*15</f>
        <v>2697.06</v>
      </c>
      <c r="Q28" s="38">
        <f t="shared" si="7"/>
        <v>14278.846153846154</v>
      </c>
      <c r="R28" s="57">
        <f>R14*15</f>
        <v>2855.7599999999998</v>
      </c>
      <c r="S28" s="39">
        <f t="shared" si="8"/>
        <v>15072.403846153846</v>
      </c>
      <c r="T28" s="58">
        <f>T14*15</f>
        <v>3014.4900000000002</v>
      </c>
    </row>
    <row r="29" spans="1:20" s="1" customFormat="1" ht="18" customHeight="1" x14ac:dyDescent="0.3">
      <c r="A29" s="73" t="s">
        <v>34</v>
      </c>
      <c r="B29" s="42">
        <v>16</v>
      </c>
      <c r="C29" s="20">
        <f t="shared" si="0"/>
        <v>11241.538461538461</v>
      </c>
      <c r="D29" s="54">
        <f>D14*16</f>
        <v>2231.136</v>
      </c>
      <c r="E29" s="64">
        <f t="shared" si="1"/>
        <v>12036</v>
      </c>
      <c r="F29" s="51">
        <f>F14*16</f>
        <v>2388.8319999999999</v>
      </c>
      <c r="G29" s="61">
        <f t="shared" si="2"/>
        <v>12370.153846153846</v>
      </c>
      <c r="H29" s="46">
        <f>H14*16</f>
        <v>2455.136</v>
      </c>
      <c r="I29" s="27">
        <f t="shared" si="3"/>
        <v>12436.307692307691</v>
      </c>
      <c r="J29" s="47">
        <f>J14*16</f>
        <v>2487.2640000000001</v>
      </c>
      <c r="K29" s="28">
        <f t="shared" si="4"/>
        <v>13566.153846153846</v>
      </c>
      <c r="L29" s="48">
        <f>L14*16</f>
        <v>2713.2159999999999</v>
      </c>
      <c r="M29" s="29">
        <f t="shared" si="5"/>
        <v>14319.692307692309</v>
      </c>
      <c r="N29" s="55">
        <f>N14*16</f>
        <v>2863.9360000000001</v>
      </c>
      <c r="O29" s="37">
        <f t="shared" si="6"/>
        <v>14384.307692307693</v>
      </c>
      <c r="P29" s="56">
        <f>P14*16</f>
        <v>2876.864</v>
      </c>
      <c r="Q29" s="38">
        <f t="shared" si="7"/>
        <v>15230.76923076923</v>
      </c>
      <c r="R29" s="57">
        <f>R14*16</f>
        <v>3046.1439999999998</v>
      </c>
      <c r="S29" s="39">
        <f t="shared" si="8"/>
        <v>16077.23076923077</v>
      </c>
      <c r="T29" s="58">
        <f>T14*16</f>
        <v>3215.4560000000001</v>
      </c>
    </row>
    <row r="30" spans="1:20" s="1" customFormat="1" ht="18" customHeight="1" x14ac:dyDescent="0.3">
      <c r="A30" s="73" t="s">
        <v>34</v>
      </c>
      <c r="B30" s="42">
        <v>17</v>
      </c>
      <c r="C30" s="20">
        <f t="shared" si="0"/>
        <v>11944.134615384615</v>
      </c>
      <c r="D30" s="54">
        <f>D14*17</f>
        <v>2370.5819999999999</v>
      </c>
      <c r="E30" s="64">
        <f t="shared" si="1"/>
        <v>12788.25</v>
      </c>
      <c r="F30" s="51">
        <f>F14*17</f>
        <v>2538.134</v>
      </c>
      <c r="G30" s="61">
        <f t="shared" si="2"/>
        <v>13143.288461538461</v>
      </c>
      <c r="H30" s="46">
        <f>H14*17</f>
        <v>2608.5819999999999</v>
      </c>
      <c r="I30" s="27">
        <f t="shared" si="3"/>
        <v>13213.576923076922</v>
      </c>
      <c r="J30" s="47">
        <f>J14*17</f>
        <v>2642.7180000000003</v>
      </c>
      <c r="K30" s="28">
        <f t="shared" si="4"/>
        <v>14414.038461538461</v>
      </c>
      <c r="L30" s="48">
        <f>L14*17</f>
        <v>2882.7919999999999</v>
      </c>
      <c r="M30" s="29">
        <f t="shared" si="5"/>
        <v>15214.673076923078</v>
      </c>
      <c r="N30" s="55">
        <f>N14*17</f>
        <v>3042.9320000000002</v>
      </c>
      <c r="O30" s="37">
        <f t="shared" si="6"/>
        <v>15283.326923076924</v>
      </c>
      <c r="P30" s="56">
        <f>P14*17</f>
        <v>3056.6680000000001</v>
      </c>
      <c r="Q30" s="38">
        <f t="shared" si="7"/>
        <v>16182.692307692307</v>
      </c>
      <c r="R30" s="57">
        <f>R14*17</f>
        <v>3236.5279999999998</v>
      </c>
      <c r="S30" s="39">
        <f t="shared" si="8"/>
        <v>17082.057692307691</v>
      </c>
      <c r="T30" s="58">
        <f>T14*17</f>
        <v>3416.422</v>
      </c>
    </row>
    <row r="31" spans="1:20" s="1" customFormat="1" ht="18" customHeight="1" x14ac:dyDescent="0.3">
      <c r="A31" s="73" t="s">
        <v>34</v>
      </c>
      <c r="B31" s="42">
        <v>18</v>
      </c>
      <c r="C31" s="20">
        <f t="shared" si="0"/>
        <v>12646.73076923077</v>
      </c>
      <c r="D31" s="54">
        <f>D14*18</f>
        <v>2510.0279999999998</v>
      </c>
      <c r="E31" s="64">
        <f t="shared" si="1"/>
        <v>13540.5</v>
      </c>
      <c r="F31" s="51">
        <f>F14*18</f>
        <v>2687.4359999999997</v>
      </c>
      <c r="G31" s="61">
        <f t="shared" si="2"/>
        <v>13916.423076923076</v>
      </c>
      <c r="H31" s="46">
        <f>H14*18</f>
        <v>2762.0279999999998</v>
      </c>
      <c r="I31" s="27">
        <f t="shared" si="3"/>
        <v>13990.846153846152</v>
      </c>
      <c r="J31" s="47">
        <f>J14*18</f>
        <v>2798.172</v>
      </c>
      <c r="K31" s="28">
        <f t="shared" si="4"/>
        <v>15261.923076923076</v>
      </c>
      <c r="L31" s="48">
        <f>L14*18</f>
        <v>3052.3679999999999</v>
      </c>
      <c r="M31" s="29">
        <f t="shared" si="5"/>
        <v>16109.653846153848</v>
      </c>
      <c r="N31" s="55">
        <f>N14*18</f>
        <v>3221.9280000000003</v>
      </c>
      <c r="O31" s="37">
        <f t="shared" si="6"/>
        <v>16182.346153846154</v>
      </c>
      <c r="P31" s="56">
        <f>P14*18</f>
        <v>3236.4720000000002</v>
      </c>
      <c r="Q31" s="38">
        <f t="shared" si="7"/>
        <v>17134.615384615383</v>
      </c>
      <c r="R31" s="57">
        <f>R14*18</f>
        <v>3426.9119999999998</v>
      </c>
      <c r="S31" s="39">
        <f t="shared" si="8"/>
        <v>18086.884615384617</v>
      </c>
      <c r="T31" s="58">
        <f>T14*18</f>
        <v>3617.3879999999999</v>
      </c>
    </row>
    <row r="32" spans="1:20" s="1" customFormat="1" ht="18" customHeight="1" x14ac:dyDescent="0.3">
      <c r="A32" s="73" t="s">
        <v>34</v>
      </c>
      <c r="B32" s="42">
        <v>19</v>
      </c>
      <c r="C32" s="20">
        <f t="shared" si="0"/>
        <v>13349.326923076924</v>
      </c>
      <c r="D32" s="54">
        <f>D14*19</f>
        <v>2649.4740000000002</v>
      </c>
      <c r="E32" s="64">
        <f t="shared" si="1"/>
        <v>14292.75</v>
      </c>
      <c r="F32" s="51">
        <f>F14*19</f>
        <v>2836.7379999999998</v>
      </c>
      <c r="G32" s="61">
        <f t="shared" si="2"/>
        <v>14689.557692307691</v>
      </c>
      <c r="H32" s="46">
        <f>H14*19</f>
        <v>2915.4740000000002</v>
      </c>
      <c r="I32" s="27">
        <f t="shared" si="3"/>
        <v>14768.115384615383</v>
      </c>
      <c r="J32" s="47">
        <f>J14*19</f>
        <v>2953.6260000000002</v>
      </c>
      <c r="K32" s="28">
        <f t="shared" si="4"/>
        <v>16109.807692307691</v>
      </c>
      <c r="L32" s="48">
        <f>L14*19</f>
        <v>3221.944</v>
      </c>
      <c r="M32" s="29">
        <f t="shared" si="5"/>
        <v>17004.634615384617</v>
      </c>
      <c r="N32" s="55">
        <f>N14*19</f>
        <v>3400.924</v>
      </c>
      <c r="O32" s="37">
        <f t="shared" si="6"/>
        <v>17081.365384615387</v>
      </c>
      <c r="P32" s="56">
        <f>P14*19</f>
        <v>3416.2759999999998</v>
      </c>
      <c r="Q32" s="38">
        <f t="shared" si="7"/>
        <v>18086.538461538461</v>
      </c>
      <c r="R32" s="57">
        <f>R14*19</f>
        <v>3617.2959999999998</v>
      </c>
      <c r="S32" s="39">
        <f t="shared" si="8"/>
        <v>19091.711538461539</v>
      </c>
      <c r="T32" s="58">
        <f>T14*19</f>
        <v>3818.3540000000003</v>
      </c>
    </row>
    <row r="33" spans="1:20" s="1" customFormat="1" ht="18" customHeight="1" thickBot="1" x14ac:dyDescent="0.35">
      <c r="A33" s="74" t="s">
        <v>34</v>
      </c>
      <c r="B33" s="43">
        <v>20</v>
      </c>
      <c r="C33" s="20">
        <f t="shared" si="0"/>
        <v>14051.923076923078</v>
      </c>
      <c r="D33" s="54">
        <f>D14*20</f>
        <v>2788.92</v>
      </c>
      <c r="E33" s="64">
        <f t="shared" si="1"/>
        <v>15045</v>
      </c>
      <c r="F33" s="51">
        <f>F14*20</f>
        <v>2986.04</v>
      </c>
      <c r="G33" s="61">
        <f t="shared" si="2"/>
        <v>15462.692307692307</v>
      </c>
      <c r="H33" s="46">
        <f>H14*20</f>
        <v>3068.92</v>
      </c>
      <c r="I33" s="27">
        <f t="shared" si="3"/>
        <v>15545.384615384613</v>
      </c>
      <c r="J33" s="47">
        <f>J14*20</f>
        <v>3109.08</v>
      </c>
      <c r="K33" s="28">
        <f t="shared" si="4"/>
        <v>16957.692307692309</v>
      </c>
      <c r="L33" s="48">
        <f>L14*20</f>
        <v>3391.52</v>
      </c>
      <c r="M33" s="29">
        <f t="shared" si="5"/>
        <v>17899.615384615387</v>
      </c>
      <c r="N33" s="55">
        <f>N14*20</f>
        <v>3579.92</v>
      </c>
      <c r="O33" s="37">
        <f t="shared" si="6"/>
        <v>17980.384615384617</v>
      </c>
      <c r="P33" s="56">
        <f>P14*20</f>
        <v>3596.08</v>
      </c>
      <c r="Q33" s="38">
        <f t="shared" si="7"/>
        <v>19038.461538461539</v>
      </c>
      <c r="R33" s="57">
        <f>R14*20</f>
        <v>3807.68</v>
      </c>
      <c r="S33" s="39">
        <f t="shared" si="8"/>
        <v>20096.538461538461</v>
      </c>
      <c r="T33" s="58">
        <f>T14*20</f>
        <v>4019.32</v>
      </c>
    </row>
    <row r="34" spans="1:20" ht="15" customHeight="1" x14ac:dyDescent="0.3">
      <c r="A34" s="6" t="s">
        <v>35</v>
      </c>
      <c r="B34" s="16">
        <v>21</v>
      </c>
      <c r="C34" s="20">
        <f t="shared" si="0"/>
        <v>14754.51923076923</v>
      </c>
      <c r="D34" s="54">
        <f>D14*21</f>
        <v>2928.366</v>
      </c>
      <c r="E34" s="64">
        <f t="shared" ref="E34:E44" si="9">B34*E$14</f>
        <v>15797.25</v>
      </c>
      <c r="F34" s="51">
        <f>F14*21</f>
        <v>3135.3419999999996</v>
      </c>
      <c r="G34" s="61">
        <f t="shared" ref="G34:G44" si="10">B34*G$14</f>
        <v>16235.826923076922</v>
      </c>
      <c r="H34" s="46">
        <f>H14*21</f>
        <v>3222.366</v>
      </c>
      <c r="I34" s="27">
        <f t="shared" ref="I34:I44" si="11">B34*I$14</f>
        <v>16322.653846153846</v>
      </c>
      <c r="J34" s="47">
        <f>J14*21</f>
        <v>3264.5340000000001</v>
      </c>
      <c r="K34" s="28">
        <f t="shared" ref="K34:K44" si="12">B34*K$14</f>
        <v>17805.576923076922</v>
      </c>
      <c r="L34" s="48">
        <f>L14*21</f>
        <v>3561.096</v>
      </c>
      <c r="M34" s="29">
        <f t="shared" ref="M34:M44" si="13">B34*M$14</f>
        <v>18794.596153846156</v>
      </c>
      <c r="N34" s="55">
        <f>N14*21</f>
        <v>3758.9160000000002</v>
      </c>
      <c r="O34" s="37">
        <f t="shared" ref="O34:O44" si="14">B34*O$14</f>
        <v>18879.403846153848</v>
      </c>
      <c r="P34" s="56">
        <f>P14*21</f>
        <v>3775.884</v>
      </c>
      <c r="Q34" s="38">
        <f t="shared" ref="Q34:Q44" si="15">B34*Q$14</f>
        <v>19990.384615384613</v>
      </c>
      <c r="R34" s="57">
        <f>R14*21</f>
        <v>3998.0639999999999</v>
      </c>
      <c r="S34" s="39">
        <f t="shared" ref="S34:S44" si="16">B34*S$14</f>
        <v>21101.365384615387</v>
      </c>
      <c r="T34" s="58">
        <f>T14*21</f>
        <v>4220.2860000000001</v>
      </c>
    </row>
    <row r="35" spans="1:20" ht="15" customHeight="1" x14ac:dyDescent="0.3">
      <c r="A35" s="6" t="s">
        <v>35</v>
      </c>
      <c r="B35" s="16">
        <v>22</v>
      </c>
      <c r="C35" s="20">
        <f t="shared" si="0"/>
        <v>15457.115384615385</v>
      </c>
      <c r="D35" s="54">
        <f>D14*22</f>
        <v>3067.8119999999999</v>
      </c>
      <c r="E35" s="64">
        <f t="shared" si="9"/>
        <v>16549.5</v>
      </c>
      <c r="F35" s="51">
        <f>F14*22</f>
        <v>3284.6439999999998</v>
      </c>
      <c r="G35" s="61">
        <f t="shared" si="10"/>
        <v>17008.961538461539</v>
      </c>
      <c r="H35" s="46">
        <f>H14*22</f>
        <v>3375.8119999999999</v>
      </c>
      <c r="I35" s="27">
        <f t="shared" si="11"/>
        <v>17099.923076923074</v>
      </c>
      <c r="J35" s="47">
        <f>J14*22</f>
        <v>3419.9880000000003</v>
      </c>
      <c r="K35" s="28">
        <f t="shared" si="12"/>
        <v>18653.461538461539</v>
      </c>
      <c r="L35" s="48">
        <f>L14*22</f>
        <v>3730.672</v>
      </c>
      <c r="M35" s="29">
        <f t="shared" si="13"/>
        <v>19689.576923076926</v>
      </c>
      <c r="N35" s="55">
        <f>N14*22</f>
        <v>3937.9120000000003</v>
      </c>
      <c r="O35" s="37">
        <f t="shared" si="14"/>
        <v>19778.423076923078</v>
      </c>
      <c r="P35" s="56">
        <f>P14*22</f>
        <v>3955.6880000000001</v>
      </c>
      <c r="Q35" s="38">
        <f t="shared" si="15"/>
        <v>20942.307692307691</v>
      </c>
      <c r="R35" s="57">
        <f>R14*22</f>
        <v>4188.4479999999994</v>
      </c>
      <c r="S35" s="39">
        <f t="shared" si="16"/>
        <v>22106.192307692309</v>
      </c>
      <c r="T35" s="58">
        <f>T14*22</f>
        <v>4421.2520000000004</v>
      </c>
    </row>
    <row r="36" spans="1:20" x14ac:dyDescent="0.3">
      <c r="A36" s="6" t="s">
        <v>35</v>
      </c>
      <c r="B36" s="16">
        <v>23</v>
      </c>
      <c r="C36" s="20">
        <f t="shared" si="0"/>
        <v>16159.711538461539</v>
      </c>
      <c r="D36" s="54">
        <f>D14*23</f>
        <v>3207.2579999999998</v>
      </c>
      <c r="E36" s="64">
        <f t="shared" si="9"/>
        <v>17301.75</v>
      </c>
      <c r="F36" s="51">
        <f>F14*23</f>
        <v>3433.9459999999999</v>
      </c>
      <c r="G36" s="61">
        <f t="shared" si="10"/>
        <v>17782.096153846152</v>
      </c>
      <c r="H36" s="46">
        <f>H14*23</f>
        <v>3529.2579999999998</v>
      </c>
      <c r="I36" s="27">
        <f t="shared" si="11"/>
        <v>17877.192307692305</v>
      </c>
      <c r="J36" s="47">
        <f>J14*23</f>
        <v>3575.442</v>
      </c>
      <c r="K36" s="28">
        <f t="shared" si="12"/>
        <v>19501.346153846152</v>
      </c>
      <c r="L36" s="48">
        <f>L14*23</f>
        <v>3900.248</v>
      </c>
      <c r="M36" s="29">
        <f t="shared" si="13"/>
        <v>20584.557692307695</v>
      </c>
      <c r="N36" s="55">
        <f>N14*23</f>
        <v>4116.9080000000004</v>
      </c>
      <c r="O36" s="37">
        <f t="shared" si="14"/>
        <v>20677.442307692309</v>
      </c>
      <c r="P36" s="56">
        <f>P14*23</f>
        <v>4135.4920000000002</v>
      </c>
      <c r="Q36" s="38">
        <f t="shared" si="15"/>
        <v>21894.23076923077</v>
      </c>
      <c r="R36" s="57">
        <f>R14*23</f>
        <v>4378.8319999999994</v>
      </c>
      <c r="S36" s="39">
        <f t="shared" si="16"/>
        <v>23111.01923076923</v>
      </c>
      <c r="T36" s="58">
        <f>T14*23</f>
        <v>4622.2179999999998</v>
      </c>
    </row>
    <row r="37" spans="1:20" x14ac:dyDescent="0.3">
      <c r="A37" s="6" t="s">
        <v>35</v>
      </c>
      <c r="B37" s="16">
        <v>24</v>
      </c>
      <c r="C37" s="20">
        <f t="shared" si="0"/>
        <v>16862.307692307691</v>
      </c>
      <c r="D37" s="54">
        <f>D14*24</f>
        <v>3346.7039999999997</v>
      </c>
      <c r="E37" s="64">
        <f t="shared" si="9"/>
        <v>18054</v>
      </c>
      <c r="F37" s="51">
        <f>F14*24</f>
        <v>3583.2479999999996</v>
      </c>
      <c r="G37" s="61">
        <f t="shared" si="10"/>
        <v>18555.23076923077</v>
      </c>
      <c r="H37" s="46">
        <f>H14*24</f>
        <v>3682.7039999999997</v>
      </c>
      <c r="I37" s="27">
        <f t="shared" si="11"/>
        <v>18654.461538461539</v>
      </c>
      <c r="J37" s="47">
        <f>J14*24</f>
        <v>3730.8960000000002</v>
      </c>
      <c r="K37" s="28">
        <f t="shared" si="12"/>
        <v>20349.23076923077</v>
      </c>
      <c r="L37" s="48">
        <f>L14*24</f>
        <v>4069.8239999999996</v>
      </c>
      <c r="M37" s="29">
        <f t="shared" si="13"/>
        <v>21479.538461538461</v>
      </c>
      <c r="N37" s="55">
        <f>N14*24</f>
        <v>4295.9040000000005</v>
      </c>
      <c r="O37" s="37">
        <f t="shared" si="14"/>
        <v>21576.461538461539</v>
      </c>
      <c r="P37" s="56">
        <f>P14*24</f>
        <v>4315.2960000000003</v>
      </c>
      <c r="Q37" s="38">
        <f t="shared" si="15"/>
        <v>22846.153846153844</v>
      </c>
      <c r="R37" s="57">
        <f>R14*24</f>
        <v>4569.2159999999994</v>
      </c>
      <c r="S37" s="39">
        <f t="shared" si="16"/>
        <v>24115.846153846156</v>
      </c>
      <c r="T37" s="58">
        <f>T14*24</f>
        <v>4823.1840000000002</v>
      </c>
    </row>
    <row r="38" spans="1:20" x14ac:dyDescent="0.3">
      <c r="A38" s="6" t="s">
        <v>35</v>
      </c>
      <c r="B38" s="16">
        <v>25</v>
      </c>
      <c r="C38" s="20">
        <f t="shared" si="0"/>
        <v>17564.903846153848</v>
      </c>
      <c r="D38" s="54">
        <f>D14*25</f>
        <v>3486.15</v>
      </c>
      <c r="E38" s="64">
        <f t="shared" si="9"/>
        <v>18806.25</v>
      </c>
      <c r="F38" s="51">
        <f>F14*25</f>
        <v>3732.5499999999997</v>
      </c>
      <c r="G38" s="61">
        <f t="shared" si="10"/>
        <v>19328.365384615383</v>
      </c>
      <c r="H38" s="46">
        <f>H14*25</f>
        <v>3836.15</v>
      </c>
      <c r="I38" s="27">
        <f t="shared" si="11"/>
        <v>19431.73076923077</v>
      </c>
      <c r="J38" s="47">
        <f>J14*25</f>
        <v>3886.3500000000004</v>
      </c>
      <c r="K38" s="28">
        <f t="shared" si="12"/>
        <v>21197.115384615383</v>
      </c>
      <c r="L38" s="48">
        <f>L14*25</f>
        <v>4239.3999999999996</v>
      </c>
      <c r="M38" s="29">
        <f t="shared" si="13"/>
        <v>22374.51923076923</v>
      </c>
      <c r="N38" s="55">
        <f>N14*25</f>
        <v>4474.9000000000005</v>
      </c>
      <c r="O38" s="37">
        <f t="shared" si="14"/>
        <v>22475.48076923077</v>
      </c>
      <c r="P38" s="56">
        <f>P14*25</f>
        <v>4495.1000000000004</v>
      </c>
      <c r="Q38" s="38">
        <f t="shared" si="15"/>
        <v>23798.076923076922</v>
      </c>
      <c r="R38" s="57">
        <f>R14*25</f>
        <v>4759.5999999999995</v>
      </c>
      <c r="S38" s="39">
        <f t="shared" si="16"/>
        <v>25120.673076923078</v>
      </c>
      <c r="T38" s="58">
        <f>T14*25</f>
        <v>5024.1500000000005</v>
      </c>
    </row>
    <row r="39" spans="1:20" x14ac:dyDescent="0.3">
      <c r="A39" s="6" t="s">
        <v>35</v>
      </c>
      <c r="B39" s="16">
        <v>26</v>
      </c>
      <c r="C39" s="20">
        <f t="shared" si="0"/>
        <v>18267.5</v>
      </c>
      <c r="D39" s="54">
        <f>D14*26</f>
        <v>3625.596</v>
      </c>
      <c r="E39" s="64">
        <f t="shared" si="9"/>
        <v>19558.5</v>
      </c>
      <c r="F39" s="51">
        <f>F14*26</f>
        <v>3881.8519999999999</v>
      </c>
      <c r="G39" s="61">
        <f t="shared" si="10"/>
        <v>20101.5</v>
      </c>
      <c r="H39" s="46">
        <f>H14*26</f>
        <v>3989.596</v>
      </c>
      <c r="I39" s="27">
        <f t="shared" si="11"/>
        <v>20209</v>
      </c>
      <c r="J39" s="47">
        <f>J14*26</f>
        <v>4041.8040000000001</v>
      </c>
      <c r="K39" s="28">
        <f t="shared" si="12"/>
        <v>22045</v>
      </c>
      <c r="L39" s="48">
        <f>L14*26</f>
        <v>4408.9759999999997</v>
      </c>
      <c r="M39" s="29">
        <f t="shared" si="13"/>
        <v>23269.5</v>
      </c>
      <c r="N39" s="55">
        <f>N14*26</f>
        <v>4653.8960000000006</v>
      </c>
      <c r="O39" s="37">
        <f t="shared" si="14"/>
        <v>23374.5</v>
      </c>
      <c r="P39" s="56">
        <f>P14*26</f>
        <v>4674.9040000000005</v>
      </c>
      <c r="Q39" s="38">
        <f t="shared" si="15"/>
        <v>24750</v>
      </c>
      <c r="R39" s="57">
        <f>R14*26</f>
        <v>4949.9839999999995</v>
      </c>
      <c r="S39" s="39">
        <f t="shared" si="16"/>
        <v>26125.5</v>
      </c>
      <c r="T39" s="59">
        <f>T14*26</f>
        <v>5225.116</v>
      </c>
    </row>
    <row r="40" spans="1:20" x14ac:dyDescent="0.3">
      <c r="A40" s="6" t="s">
        <v>35</v>
      </c>
      <c r="B40" s="18">
        <v>27</v>
      </c>
      <c r="C40" s="20">
        <f t="shared" si="0"/>
        <v>18970.096153846156</v>
      </c>
      <c r="D40" s="54">
        <f>D14*27</f>
        <v>3765.0419999999999</v>
      </c>
      <c r="E40" s="64">
        <f t="shared" si="9"/>
        <v>20310.75</v>
      </c>
      <c r="F40" s="51">
        <f>F14*27</f>
        <v>4031.154</v>
      </c>
      <c r="G40" s="61">
        <f t="shared" si="10"/>
        <v>20874.634615384613</v>
      </c>
      <c r="H40" s="46">
        <f>H14*27</f>
        <v>4143.0420000000004</v>
      </c>
      <c r="I40" s="27">
        <f t="shared" si="11"/>
        <v>20986.26923076923</v>
      </c>
      <c r="J40" s="47">
        <f>J14*27</f>
        <v>4197.2579999999998</v>
      </c>
      <c r="K40" s="28">
        <f t="shared" si="12"/>
        <v>22892.884615384613</v>
      </c>
      <c r="L40" s="48">
        <f>L14*27</f>
        <v>4578.5519999999997</v>
      </c>
      <c r="M40" s="29">
        <f t="shared" si="13"/>
        <v>24164.48076923077</v>
      </c>
      <c r="N40" s="55">
        <f>N14*27</f>
        <v>4832.8919999999998</v>
      </c>
      <c r="O40" s="37">
        <f t="shared" si="14"/>
        <v>24273.519230769234</v>
      </c>
      <c r="P40" s="56">
        <f>P14*27</f>
        <v>4854.7079999999996</v>
      </c>
      <c r="Q40" s="38">
        <f t="shared" si="15"/>
        <v>25701.923076923078</v>
      </c>
      <c r="R40" s="57">
        <f>R14*27</f>
        <v>5140.3679999999995</v>
      </c>
      <c r="S40" s="39">
        <f t="shared" si="16"/>
        <v>27130.326923076922</v>
      </c>
      <c r="T40" s="58">
        <f>T14*27</f>
        <v>5426.0820000000003</v>
      </c>
    </row>
    <row r="41" spans="1:20" x14ac:dyDescent="0.3">
      <c r="A41" s="6" t="s">
        <v>35</v>
      </c>
      <c r="B41" s="17">
        <v>28</v>
      </c>
      <c r="C41" s="20">
        <f t="shared" si="0"/>
        <v>19672.692307692309</v>
      </c>
      <c r="D41" s="54">
        <f>D14*28</f>
        <v>3904.4879999999998</v>
      </c>
      <c r="E41" s="64">
        <f t="shared" si="9"/>
        <v>21063</v>
      </c>
      <c r="F41" s="51">
        <f>F14*28</f>
        <v>4180.4560000000001</v>
      </c>
      <c r="G41" s="61">
        <f t="shared" si="10"/>
        <v>21647.76923076923</v>
      </c>
      <c r="H41" s="46">
        <f>H14*28</f>
        <v>4296.4880000000003</v>
      </c>
      <c r="I41" s="27">
        <f t="shared" si="11"/>
        <v>21763.538461538461</v>
      </c>
      <c r="J41" s="47">
        <f>J14*28</f>
        <v>4352.7120000000004</v>
      </c>
      <c r="K41" s="28">
        <f t="shared" si="12"/>
        <v>23740.76923076923</v>
      </c>
      <c r="L41" s="48">
        <f>L14*28</f>
        <v>4748.1279999999997</v>
      </c>
      <c r="M41" s="29">
        <f t="shared" si="13"/>
        <v>25059.461538461539</v>
      </c>
      <c r="N41" s="55">
        <f>N14*28</f>
        <v>5011.8879999999999</v>
      </c>
      <c r="O41" s="37">
        <f t="shared" si="14"/>
        <v>25172.538461538465</v>
      </c>
      <c r="P41" s="56">
        <f>P14*28</f>
        <v>5034.5119999999997</v>
      </c>
      <c r="Q41" s="38">
        <f t="shared" si="15"/>
        <v>26653.846153846152</v>
      </c>
      <c r="R41" s="57">
        <f>R14*28</f>
        <v>5330.7519999999995</v>
      </c>
      <c r="S41" s="39">
        <f t="shared" si="16"/>
        <v>28135.153846153848</v>
      </c>
      <c r="T41" s="58">
        <f>T14*28</f>
        <v>5627.0480000000007</v>
      </c>
    </row>
    <row r="42" spans="1:20" x14ac:dyDescent="0.3">
      <c r="A42" s="6" t="s">
        <v>35</v>
      </c>
      <c r="B42" s="16">
        <v>29</v>
      </c>
      <c r="C42" s="20">
        <f t="shared" si="0"/>
        <v>20375.288461538461</v>
      </c>
      <c r="D42" s="54">
        <f>D14*29</f>
        <v>4043.9339999999997</v>
      </c>
      <c r="E42" s="64">
        <f t="shared" si="9"/>
        <v>21815.25</v>
      </c>
      <c r="F42" s="51">
        <f>F14*29</f>
        <v>4329.7579999999998</v>
      </c>
      <c r="G42" s="61">
        <f t="shared" si="10"/>
        <v>22420.903846153844</v>
      </c>
      <c r="H42" s="46">
        <f>H14*29</f>
        <v>4449.9340000000002</v>
      </c>
      <c r="I42" s="27">
        <f t="shared" si="11"/>
        <v>22540.807692307691</v>
      </c>
      <c r="J42" s="47">
        <f>J14*29</f>
        <v>4508.1660000000002</v>
      </c>
      <c r="K42" s="28">
        <f t="shared" si="12"/>
        <v>24588.653846153844</v>
      </c>
      <c r="L42" s="48">
        <f>L14*29</f>
        <v>4917.7039999999997</v>
      </c>
      <c r="M42" s="29">
        <f t="shared" si="13"/>
        <v>25954.442307692309</v>
      </c>
      <c r="N42" s="55">
        <f>N14*29</f>
        <v>5190.884</v>
      </c>
      <c r="O42" s="37">
        <f t="shared" si="14"/>
        <v>26071.557692307695</v>
      </c>
      <c r="P42" s="56">
        <f>P14*29</f>
        <v>5214.3159999999998</v>
      </c>
      <c r="Q42" s="38">
        <f t="shared" si="15"/>
        <v>27605.76923076923</v>
      </c>
      <c r="R42" s="57">
        <f>R14*29</f>
        <v>5521.1359999999995</v>
      </c>
      <c r="S42" s="39">
        <f t="shared" si="16"/>
        <v>29139.98076923077</v>
      </c>
      <c r="T42" s="58">
        <f>T14*29</f>
        <v>5828.0140000000001</v>
      </c>
    </row>
    <row r="43" spans="1:20" x14ac:dyDescent="0.3">
      <c r="A43" s="6" t="s">
        <v>35</v>
      </c>
      <c r="B43" s="16">
        <v>30</v>
      </c>
      <c r="C43" s="20">
        <f t="shared" si="0"/>
        <v>21077.884615384617</v>
      </c>
      <c r="D43" s="54">
        <f>D14*30</f>
        <v>4183.38</v>
      </c>
      <c r="E43" s="64">
        <f t="shared" si="9"/>
        <v>22567.5</v>
      </c>
      <c r="F43" s="51">
        <f>F14*30</f>
        <v>4479.0599999999995</v>
      </c>
      <c r="G43" s="61">
        <f t="shared" si="10"/>
        <v>23194.038461538461</v>
      </c>
      <c r="H43" s="46">
        <f>H14*30</f>
        <v>4603.38</v>
      </c>
      <c r="I43" s="27">
        <f t="shared" si="11"/>
        <v>23318.076923076922</v>
      </c>
      <c r="J43" s="47">
        <f>J14*30</f>
        <v>4663.62</v>
      </c>
      <c r="K43" s="28">
        <f t="shared" si="12"/>
        <v>25436.538461538461</v>
      </c>
      <c r="L43" s="48">
        <f>L14*30</f>
        <v>5087.28</v>
      </c>
      <c r="M43" s="29">
        <f t="shared" si="13"/>
        <v>26849.423076923078</v>
      </c>
      <c r="N43" s="55">
        <f>N14*30</f>
        <v>5369.88</v>
      </c>
      <c r="O43" s="37">
        <f t="shared" si="14"/>
        <v>26970.576923076926</v>
      </c>
      <c r="P43" s="56">
        <f>P14*30</f>
        <v>5394.12</v>
      </c>
      <c r="Q43" s="38">
        <f t="shared" si="15"/>
        <v>28557.692307692309</v>
      </c>
      <c r="R43" s="57">
        <f>R14*30</f>
        <v>5711.5199999999995</v>
      </c>
      <c r="S43" s="39">
        <f t="shared" si="16"/>
        <v>30144.807692307691</v>
      </c>
      <c r="T43" s="58">
        <f>T14*30</f>
        <v>6028.9800000000005</v>
      </c>
    </row>
    <row r="44" spans="1:20" x14ac:dyDescent="0.3">
      <c r="A44" s="6" t="s">
        <v>35</v>
      </c>
      <c r="B44" s="16">
        <v>31</v>
      </c>
      <c r="C44" s="20">
        <f t="shared" si="0"/>
        <v>21780.48076923077</v>
      </c>
      <c r="D44" s="54">
        <f>D14*31</f>
        <v>4322.826</v>
      </c>
      <c r="E44" s="64">
        <f t="shared" si="9"/>
        <v>23319.75</v>
      </c>
      <c r="F44" s="51">
        <f>F14*31</f>
        <v>4628.3620000000001</v>
      </c>
      <c r="G44" s="61">
        <f t="shared" si="10"/>
        <v>23967.173076923074</v>
      </c>
      <c r="H44" s="46">
        <f>H14*31</f>
        <v>4756.826</v>
      </c>
      <c r="I44" s="27">
        <f t="shared" si="11"/>
        <v>24095.346153846152</v>
      </c>
      <c r="J44" s="47">
        <f>J14*31</f>
        <v>4819.0740000000005</v>
      </c>
      <c r="K44" s="28">
        <f t="shared" si="12"/>
        <v>26284.423076923074</v>
      </c>
      <c r="L44" s="48">
        <f>L14*31</f>
        <v>5256.8559999999998</v>
      </c>
      <c r="M44" s="29">
        <f t="shared" si="13"/>
        <v>27744.403846153848</v>
      </c>
      <c r="N44" s="55">
        <f>N14*31</f>
        <v>5548.8760000000002</v>
      </c>
      <c r="O44" s="37">
        <f t="shared" si="14"/>
        <v>27869.596153846156</v>
      </c>
      <c r="P44" s="56">
        <f>P14*31</f>
        <v>5573.924</v>
      </c>
      <c r="Q44" s="38">
        <f t="shared" si="15"/>
        <v>29509.615384615383</v>
      </c>
      <c r="R44" s="57">
        <f>R14*31</f>
        <v>5901.9039999999995</v>
      </c>
      <c r="S44" s="39">
        <f t="shared" si="16"/>
        <v>31149.634615384617</v>
      </c>
      <c r="T44" s="58">
        <f>T14*31</f>
        <v>6229.9459999999999</v>
      </c>
    </row>
    <row r="46" spans="1:20" s="1" customFormat="1" ht="13.35" customHeight="1" x14ac:dyDescent="0.3">
      <c r="A46" s="76" t="s">
        <v>36</v>
      </c>
    </row>
    <row r="47" spans="1:20" s="1" customFormat="1" ht="14.1" customHeight="1" x14ac:dyDescent="0.3">
      <c r="A47" s="266" t="s">
        <v>2</v>
      </c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</row>
    <row r="48" spans="1:20" s="1" customFormat="1" ht="14.1" customHeight="1" x14ac:dyDescent="0.3">
      <c r="A48" s="267"/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</row>
    <row r="49" spans="1:19" s="1" customFormat="1" ht="18.75" customHeight="1" x14ac:dyDescent="0.3">
      <c r="A49" s="267"/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</row>
    <row r="50" spans="1:19" s="1" customFormat="1" ht="13.35" customHeight="1" x14ac:dyDescent="0.3">
      <c r="A50" s="3"/>
    </row>
    <row r="51" spans="1:19" s="1" customFormat="1" ht="13.35" customHeight="1" x14ac:dyDescent="0.3">
      <c r="A51" s="267"/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7"/>
    </row>
    <row r="52" spans="1:19" s="1" customFormat="1" ht="15" customHeight="1" x14ac:dyDescent="0.3">
      <c r="A52" s="267" t="s">
        <v>37</v>
      </c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</row>
  </sheetData>
  <mergeCells count="67">
    <mergeCell ref="A47:S49"/>
    <mergeCell ref="A52:S52"/>
    <mergeCell ref="A51:Q51"/>
    <mergeCell ref="A6:B7"/>
    <mergeCell ref="A11:B11"/>
    <mergeCell ref="A13:B13"/>
    <mergeCell ref="A8:B8"/>
    <mergeCell ref="A9:B9"/>
    <mergeCell ref="C7:D7"/>
    <mergeCell ref="C8:D8"/>
    <mergeCell ref="C9:D9"/>
    <mergeCell ref="C11:D12"/>
    <mergeCell ref="E11:F12"/>
    <mergeCell ref="G7:H7"/>
    <mergeCell ref="G8:H8"/>
    <mergeCell ref="G11:H12"/>
    <mergeCell ref="G10:H10"/>
    <mergeCell ref="E7:F7"/>
    <mergeCell ref="E8:F8"/>
    <mergeCell ref="E9:F9"/>
    <mergeCell ref="I6:N6"/>
    <mergeCell ref="I7:J7"/>
    <mergeCell ref="K7:L7"/>
    <mergeCell ref="M7:N7"/>
    <mergeCell ref="G9:H9"/>
    <mergeCell ref="I11:J12"/>
    <mergeCell ref="K11:L12"/>
    <mergeCell ref="M11:N12"/>
    <mergeCell ref="O6:T6"/>
    <mergeCell ref="O7:P7"/>
    <mergeCell ref="Q7:R7"/>
    <mergeCell ref="S7:T7"/>
    <mergeCell ref="O8:P8"/>
    <mergeCell ref="Q8:R8"/>
    <mergeCell ref="S8:T8"/>
    <mergeCell ref="O9:P9"/>
    <mergeCell ref="Q9:R9"/>
    <mergeCell ref="S9:T9"/>
    <mergeCell ref="S11:T12"/>
    <mergeCell ref="Q11:R12"/>
    <mergeCell ref="O11:P12"/>
    <mergeCell ref="A1:T1"/>
    <mergeCell ref="E10:F10"/>
    <mergeCell ref="C10:D10"/>
    <mergeCell ref="K10:L10"/>
    <mergeCell ref="M10:N10"/>
    <mergeCell ref="I10:J10"/>
    <mergeCell ref="O10:P10"/>
    <mergeCell ref="Q10:R10"/>
    <mergeCell ref="S10:T10"/>
    <mergeCell ref="I8:J8"/>
    <mergeCell ref="K8:L8"/>
    <mergeCell ref="M8:N8"/>
    <mergeCell ref="I9:J9"/>
    <mergeCell ref="K9:L9"/>
    <mergeCell ref="M9:N9"/>
    <mergeCell ref="C6:H6"/>
    <mergeCell ref="L4:N4"/>
    <mergeCell ref="H5:K5"/>
    <mergeCell ref="L5:N5"/>
    <mergeCell ref="A2:T2"/>
    <mergeCell ref="A3:T3"/>
    <mergeCell ref="A5:C5"/>
    <mergeCell ref="D4:G4"/>
    <mergeCell ref="D5:G5"/>
    <mergeCell ref="A4:C4"/>
    <mergeCell ref="H4:K4"/>
  </mergeCells>
  <pageMargins left="0.25" right="0.25" top="0.25" bottom="0.25" header="0" footer="0"/>
  <pageSetup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6C3A-2366-4D7F-8161-6E18961845EB}">
  <dimension ref="A1:AQ20"/>
  <sheetViews>
    <sheetView tabSelected="1" topLeftCell="AF1" workbookViewId="0">
      <selection activeCell="AM5" sqref="AM5"/>
    </sheetView>
  </sheetViews>
  <sheetFormatPr defaultRowHeight="14.4" x14ac:dyDescent="0.3"/>
  <cols>
    <col min="1" max="1" width="18.5546875" customWidth="1"/>
    <col min="2" max="2" width="15.88671875" customWidth="1"/>
    <col min="3" max="3" width="28.6640625" customWidth="1"/>
    <col min="4" max="4" width="15.109375" customWidth="1"/>
    <col min="5" max="5" width="14.5546875" customWidth="1"/>
    <col min="6" max="6" width="12.88671875" customWidth="1"/>
    <col min="7" max="7" width="11.5546875" customWidth="1"/>
    <col min="30" max="30" width="11" customWidth="1"/>
    <col min="31" max="31" width="12.109375" customWidth="1"/>
    <col min="32" max="32" width="30.109375" customWidth="1"/>
    <col min="33" max="33" width="19.5546875" customWidth="1"/>
    <col min="34" max="34" width="21.44140625" customWidth="1"/>
    <col min="35" max="35" width="23.5546875" customWidth="1"/>
    <col min="36" max="36" width="17.44140625" customWidth="1"/>
    <col min="37" max="37" width="26" customWidth="1"/>
    <col min="38" max="38" width="21.88671875" customWidth="1"/>
    <col min="39" max="39" width="30.44140625" customWidth="1"/>
    <col min="40" max="41" width="20.5546875" customWidth="1"/>
    <col min="42" max="42" width="18.44140625" customWidth="1"/>
    <col min="43" max="43" width="21.109375" customWidth="1"/>
  </cols>
  <sheetData>
    <row r="1" spans="1:43" s="296" customFormat="1" ht="18.600000000000001" customHeight="1" x14ac:dyDescent="0.35">
      <c r="A1" s="296" t="s">
        <v>38</v>
      </c>
    </row>
    <row r="2" spans="1:43" ht="21.6" thickBot="1" x14ac:dyDescent="0.4">
      <c r="A2" s="156" t="s">
        <v>39</v>
      </c>
      <c r="B2" s="78"/>
      <c r="C2" s="78"/>
      <c r="D2" s="79"/>
      <c r="E2" s="155" t="s">
        <v>40</v>
      </c>
      <c r="F2" s="78"/>
      <c r="G2" s="78"/>
      <c r="H2" s="77" t="s">
        <v>41</v>
      </c>
      <c r="I2" s="78"/>
      <c r="J2" s="78"/>
      <c r="K2" s="78"/>
      <c r="L2" s="78"/>
      <c r="M2" s="78"/>
      <c r="N2" s="78"/>
      <c r="O2" s="78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1"/>
      <c r="AC2" s="81"/>
      <c r="AD2" s="81"/>
      <c r="AE2" s="81"/>
      <c r="AF2" s="81"/>
      <c r="AG2" s="82"/>
      <c r="AH2" s="80"/>
      <c r="AI2" s="80"/>
      <c r="AJ2" s="80"/>
      <c r="AK2" s="80"/>
      <c r="AL2" s="162"/>
      <c r="AM2" s="162"/>
      <c r="AN2" s="162"/>
      <c r="AO2" s="162"/>
    </row>
    <row r="3" spans="1:43" ht="18" x14ac:dyDescent="0.3">
      <c r="A3" s="83"/>
      <c r="B3" s="83"/>
      <c r="C3" s="83"/>
      <c r="D3" s="84"/>
      <c r="E3" s="85"/>
      <c r="F3" s="86"/>
      <c r="G3" s="87"/>
      <c r="H3" s="116" t="s">
        <v>42</v>
      </c>
      <c r="I3" s="136"/>
      <c r="J3" s="137" t="s">
        <v>43</v>
      </c>
      <c r="K3" s="138"/>
      <c r="L3" s="139" t="s">
        <v>44</v>
      </c>
      <c r="M3" s="140"/>
      <c r="N3" s="141" t="s">
        <v>45</v>
      </c>
      <c r="O3" s="142"/>
      <c r="P3" s="143" t="s">
        <v>46</v>
      </c>
      <c r="Q3" s="144"/>
      <c r="R3" s="116" t="s">
        <v>47</v>
      </c>
      <c r="S3" s="136"/>
      <c r="T3" s="137" t="s">
        <v>48</v>
      </c>
      <c r="U3" s="138"/>
      <c r="V3" s="139" t="s">
        <v>49</v>
      </c>
      <c r="W3" s="140"/>
      <c r="X3" s="141" t="s">
        <v>50</v>
      </c>
      <c r="Y3" s="142"/>
      <c r="Z3" s="143" t="s">
        <v>51</v>
      </c>
      <c r="AA3" s="145"/>
      <c r="AB3" s="116" t="s">
        <v>52</v>
      </c>
      <c r="AC3" s="146"/>
      <c r="AD3" s="137" t="s">
        <v>53</v>
      </c>
      <c r="AE3" s="138"/>
      <c r="AF3" s="88"/>
      <c r="AG3" s="89"/>
      <c r="AH3" s="89"/>
      <c r="AI3" s="89"/>
      <c r="AJ3" s="89"/>
      <c r="AK3" s="89"/>
    </row>
    <row r="4" spans="1:43" ht="33" thickBot="1" x14ac:dyDescent="0.35">
      <c r="A4" s="90" t="s">
        <v>54</v>
      </c>
      <c r="B4" s="90" t="s">
        <v>55</v>
      </c>
      <c r="C4" s="90" t="s">
        <v>56</v>
      </c>
      <c r="D4" s="90" t="s">
        <v>57</v>
      </c>
      <c r="E4" s="90" t="s">
        <v>58</v>
      </c>
      <c r="F4" s="90" t="s">
        <v>59</v>
      </c>
      <c r="G4" s="91" t="s">
        <v>60</v>
      </c>
      <c r="H4" s="92" t="s">
        <v>61</v>
      </c>
      <c r="I4" s="93" t="s">
        <v>62</v>
      </c>
      <c r="J4" s="94" t="s">
        <v>61</v>
      </c>
      <c r="K4" s="95" t="s">
        <v>62</v>
      </c>
      <c r="L4" s="96" t="s">
        <v>61</v>
      </c>
      <c r="M4" s="97" t="s">
        <v>62</v>
      </c>
      <c r="N4" s="98" t="s">
        <v>61</v>
      </c>
      <c r="O4" s="99" t="s">
        <v>62</v>
      </c>
      <c r="P4" s="100" t="s">
        <v>61</v>
      </c>
      <c r="Q4" s="101" t="s">
        <v>62</v>
      </c>
      <c r="R4" s="92" t="s">
        <v>61</v>
      </c>
      <c r="S4" s="93" t="s">
        <v>62</v>
      </c>
      <c r="T4" s="94" t="s">
        <v>61</v>
      </c>
      <c r="U4" s="95" t="s">
        <v>62</v>
      </c>
      <c r="V4" s="96" t="s">
        <v>61</v>
      </c>
      <c r="W4" s="97" t="s">
        <v>62</v>
      </c>
      <c r="X4" s="98" t="s">
        <v>61</v>
      </c>
      <c r="Y4" s="99" t="s">
        <v>62</v>
      </c>
      <c r="Z4" s="100" t="s">
        <v>61</v>
      </c>
      <c r="AA4" s="102" t="s">
        <v>62</v>
      </c>
      <c r="AB4" s="92" t="s">
        <v>61</v>
      </c>
      <c r="AC4" s="103" t="s">
        <v>62</v>
      </c>
      <c r="AD4" s="94" t="s">
        <v>61</v>
      </c>
      <c r="AE4" s="95" t="s">
        <v>62</v>
      </c>
      <c r="AF4" s="135" t="s">
        <v>63</v>
      </c>
      <c r="AG4" s="147" t="s">
        <v>64</v>
      </c>
      <c r="AH4" s="147" t="s">
        <v>65</v>
      </c>
      <c r="AI4" s="147" t="s">
        <v>66</v>
      </c>
      <c r="AJ4" s="147" t="s">
        <v>67</v>
      </c>
      <c r="AK4" s="147" t="s">
        <v>68</v>
      </c>
      <c r="AL4" s="104" t="s">
        <v>69</v>
      </c>
      <c r="AM4" s="90" t="s">
        <v>70</v>
      </c>
      <c r="AN4" s="90" t="s">
        <v>71</v>
      </c>
      <c r="AO4" s="90" t="s">
        <v>72</v>
      </c>
      <c r="AP4" s="117" t="s">
        <v>73</v>
      </c>
      <c r="AQ4" s="147" t="s">
        <v>74</v>
      </c>
    </row>
    <row r="5" spans="1:43" ht="15" thickTop="1" x14ac:dyDescent="0.3">
      <c r="A5" s="125" t="s">
        <v>80</v>
      </c>
      <c r="B5" s="126" t="s">
        <v>81</v>
      </c>
      <c r="C5" s="159" t="s">
        <v>82</v>
      </c>
      <c r="D5" s="122" t="s">
        <v>83</v>
      </c>
      <c r="E5" s="118">
        <v>45782</v>
      </c>
      <c r="F5" s="119">
        <v>45894</v>
      </c>
      <c r="G5" s="105">
        <v>200.97</v>
      </c>
      <c r="H5" s="124">
        <v>0</v>
      </c>
      <c r="I5" s="106">
        <f t="shared" ref="I5:I13" si="0">G5*H5</f>
        <v>0</v>
      </c>
      <c r="J5" s="124">
        <v>0</v>
      </c>
      <c r="K5" s="107">
        <f t="shared" ref="K5:K13" si="1">G5*J5</f>
        <v>0</v>
      </c>
      <c r="L5" s="124">
        <v>0</v>
      </c>
      <c r="M5" s="107">
        <f t="shared" ref="M5:M13" si="2">G5*L5</f>
        <v>0</v>
      </c>
      <c r="N5" s="124">
        <v>0</v>
      </c>
      <c r="O5" s="107">
        <f t="shared" ref="O5:O13" si="3">G5*N5</f>
        <v>0</v>
      </c>
      <c r="P5" s="124">
        <v>1</v>
      </c>
      <c r="Q5" s="107">
        <f t="shared" ref="Q5:Q13" si="4">G5*P5</f>
        <v>200.97</v>
      </c>
      <c r="R5" s="124">
        <v>21</v>
      </c>
      <c r="S5" s="106">
        <f t="shared" ref="S5:S13" si="5">G5*R5</f>
        <v>4220.37</v>
      </c>
      <c r="T5" s="124">
        <v>23</v>
      </c>
      <c r="U5" s="107">
        <f t="shared" ref="U5:U13" si="6">G5*T5</f>
        <v>4622.3100000000004</v>
      </c>
      <c r="V5" s="124">
        <v>16</v>
      </c>
      <c r="W5" s="107">
        <f t="shared" ref="W5:W13" si="7">G5*V5</f>
        <v>3215.52</v>
      </c>
      <c r="X5" s="124">
        <v>0</v>
      </c>
      <c r="Y5" s="107">
        <f t="shared" ref="Y5:Y13" si="8">G5*X5</f>
        <v>0</v>
      </c>
      <c r="Z5" s="124">
        <v>0</v>
      </c>
      <c r="AA5" s="107">
        <f t="shared" ref="AA5:AA13" si="9">G5*Z5</f>
        <v>0</v>
      </c>
      <c r="AB5" s="124">
        <v>0</v>
      </c>
      <c r="AC5" s="106">
        <f t="shared" ref="AC5:AC13" si="10">G5*AB5</f>
        <v>0</v>
      </c>
      <c r="AD5" s="124">
        <v>0</v>
      </c>
      <c r="AE5" s="107">
        <f t="shared" ref="AE5:AE13" si="11">G5*AD5</f>
        <v>0</v>
      </c>
      <c r="AF5" s="108">
        <f t="shared" ref="AF5:AF13" si="12">SUM(I5,K5,M5,O5,Q5,S5,U5,W5,Y5,AA5,AC5,AE5)</f>
        <v>12259.170000000002</v>
      </c>
      <c r="AG5" s="154">
        <v>0</v>
      </c>
      <c r="AH5" s="149">
        <v>0</v>
      </c>
      <c r="AI5" s="149">
        <f t="shared" ref="AI5:AK13" ca="1" si="13">SUM(AI5)</f>
        <v>0</v>
      </c>
      <c r="AJ5" s="149">
        <f t="shared" ca="1" si="13"/>
        <v>0</v>
      </c>
      <c r="AK5" s="149">
        <f t="shared" ca="1" si="13"/>
        <v>0</v>
      </c>
      <c r="AL5" s="157" t="s">
        <v>75</v>
      </c>
      <c r="AM5" s="158" t="s">
        <v>76</v>
      </c>
      <c r="AN5" s="121" t="s">
        <v>77</v>
      </c>
      <c r="AO5" s="121" t="s">
        <v>78</v>
      </c>
      <c r="AP5" t="s">
        <v>79</v>
      </c>
    </row>
    <row r="6" spans="1:43" x14ac:dyDescent="0.3">
      <c r="A6" s="120"/>
      <c r="B6" s="121"/>
      <c r="C6" s="121"/>
      <c r="D6" s="122"/>
      <c r="E6" s="118"/>
      <c r="F6" s="119"/>
      <c r="G6" s="105"/>
      <c r="H6" s="124">
        <v>0</v>
      </c>
      <c r="I6" s="106">
        <f t="shared" si="0"/>
        <v>0</v>
      </c>
      <c r="J6" s="124">
        <v>0</v>
      </c>
      <c r="K6" s="107">
        <f t="shared" si="1"/>
        <v>0</v>
      </c>
      <c r="L6" s="124">
        <v>0</v>
      </c>
      <c r="M6" s="107">
        <f t="shared" si="2"/>
        <v>0</v>
      </c>
      <c r="N6" s="124">
        <v>0</v>
      </c>
      <c r="O6" s="107">
        <f t="shared" si="3"/>
        <v>0</v>
      </c>
      <c r="P6" s="124">
        <v>0</v>
      </c>
      <c r="Q6" s="107">
        <f t="shared" si="4"/>
        <v>0</v>
      </c>
      <c r="R6" s="124">
        <v>0</v>
      </c>
      <c r="S6" s="106">
        <f t="shared" si="5"/>
        <v>0</v>
      </c>
      <c r="T6" s="124">
        <v>0</v>
      </c>
      <c r="U6" s="107">
        <f t="shared" si="6"/>
        <v>0</v>
      </c>
      <c r="V6" s="124">
        <v>0</v>
      </c>
      <c r="W6" s="107">
        <f t="shared" si="7"/>
        <v>0</v>
      </c>
      <c r="X6" s="124">
        <v>0</v>
      </c>
      <c r="Y6" s="107">
        <f t="shared" si="8"/>
        <v>0</v>
      </c>
      <c r="Z6" s="124">
        <v>0</v>
      </c>
      <c r="AA6" s="107">
        <f t="shared" si="9"/>
        <v>0</v>
      </c>
      <c r="AB6" s="124">
        <v>0</v>
      </c>
      <c r="AC6" s="106">
        <f t="shared" si="10"/>
        <v>0</v>
      </c>
      <c r="AD6" s="124">
        <v>0</v>
      </c>
      <c r="AE6" s="107">
        <f t="shared" si="11"/>
        <v>0</v>
      </c>
      <c r="AF6" s="108">
        <f t="shared" si="12"/>
        <v>0</v>
      </c>
      <c r="AG6" s="154">
        <v>0</v>
      </c>
      <c r="AH6" s="149">
        <v>0</v>
      </c>
      <c r="AI6" s="149">
        <f t="shared" ca="1" si="13"/>
        <v>0</v>
      </c>
      <c r="AJ6" s="149">
        <f t="shared" ca="1" si="13"/>
        <v>0</v>
      </c>
      <c r="AK6" s="149">
        <f t="shared" ca="1" si="13"/>
        <v>0</v>
      </c>
    </row>
    <row r="7" spans="1:43" x14ac:dyDescent="0.3">
      <c r="A7" s="120"/>
      <c r="B7" s="121"/>
      <c r="C7" s="121"/>
      <c r="D7" s="122"/>
      <c r="E7" s="123"/>
      <c r="F7" s="119"/>
      <c r="G7" s="105"/>
      <c r="H7" s="124">
        <v>0</v>
      </c>
      <c r="I7" s="106">
        <f t="shared" si="0"/>
        <v>0</v>
      </c>
      <c r="J7" s="124">
        <v>0</v>
      </c>
      <c r="K7" s="107">
        <f t="shared" si="1"/>
        <v>0</v>
      </c>
      <c r="L7" s="124">
        <v>0</v>
      </c>
      <c r="M7" s="107">
        <f t="shared" si="2"/>
        <v>0</v>
      </c>
      <c r="N7" s="124">
        <v>0</v>
      </c>
      <c r="O7" s="107">
        <f t="shared" si="3"/>
        <v>0</v>
      </c>
      <c r="P7" s="124">
        <v>0</v>
      </c>
      <c r="Q7" s="107">
        <f t="shared" si="4"/>
        <v>0</v>
      </c>
      <c r="R7" s="124">
        <v>0</v>
      </c>
      <c r="S7" s="106">
        <f t="shared" si="5"/>
        <v>0</v>
      </c>
      <c r="T7" s="124">
        <v>0</v>
      </c>
      <c r="U7" s="107">
        <f t="shared" si="6"/>
        <v>0</v>
      </c>
      <c r="V7" s="124">
        <v>0</v>
      </c>
      <c r="W7" s="107">
        <f t="shared" si="7"/>
        <v>0</v>
      </c>
      <c r="X7" s="124">
        <v>0</v>
      </c>
      <c r="Y7" s="107">
        <f t="shared" si="8"/>
        <v>0</v>
      </c>
      <c r="Z7" s="124">
        <v>0</v>
      </c>
      <c r="AA7" s="107">
        <f t="shared" si="9"/>
        <v>0</v>
      </c>
      <c r="AB7" s="124">
        <v>0</v>
      </c>
      <c r="AC7" s="106">
        <f t="shared" si="10"/>
        <v>0</v>
      </c>
      <c r="AD7" s="124">
        <v>0</v>
      </c>
      <c r="AE7" s="107">
        <f t="shared" si="11"/>
        <v>0</v>
      </c>
      <c r="AF7" s="108">
        <f t="shared" si="12"/>
        <v>0</v>
      </c>
      <c r="AG7" s="154">
        <v>0</v>
      </c>
      <c r="AH7" s="149">
        <v>0</v>
      </c>
      <c r="AI7" s="149">
        <f t="shared" ca="1" si="13"/>
        <v>0</v>
      </c>
      <c r="AJ7" s="149">
        <f t="shared" ca="1" si="13"/>
        <v>0</v>
      </c>
      <c r="AK7" s="149">
        <f t="shared" ca="1" si="13"/>
        <v>0</v>
      </c>
    </row>
    <row r="8" spans="1:43" x14ac:dyDescent="0.3">
      <c r="A8" s="120"/>
      <c r="B8" s="121"/>
      <c r="C8" s="121"/>
      <c r="D8" s="122"/>
      <c r="E8" s="123"/>
      <c r="F8" s="119"/>
      <c r="G8" s="105"/>
      <c r="H8" s="124">
        <v>0</v>
      </c>
      <c r="I8" s="106">
        <f t="shared" si="0"/>
        <v>0</v>
      </c>
      <c r="J8" s="124">
        <v>0</v>
      </c>
      <c r="K8" s="107">
        <f t="shared" si="1"/>
        <v>0</v>
      </c>
      <c r="L8" s="124">
        <v>0</v>
      </c>
      <c r="M8" s="107">
        <f t="shared" si="2"/>
        <v>0</v>
      </c>
      <c r="N8" s="124">
        <v>0</v>
      </c>
      <c r="O8" s="107">
        <f t="shared" si="3"/>
        <v>0</v>
      </c>
      <c r="P8" s="124">
        <v>0</v>
      </c>
      <c r="Q8" s="107">
        <f t="shared" si="4"/>
        <v>0</v>
      </c>
      <c r="R8" s="124">
        <v>0</v>
      </c>
      <c r="S8" s="106">
        <f t="shared" si="5"/>
        <v>0</v>
      </c>
      <c r="T8" s="124">
        <v>0</v>
      </c>
      <c r="U8" s="107">
        <f t="shared" si="6"/>
        <v>0</v>
      </c>
      <c r="V8" s="124">
        <v>0</v>
      </c>
      <c r="W8" s="107">
        <f t="shared" si="7"/>
        <v>0</v>
      </c>
      <c r="X8" s="124">
        <v>0</v>
      </c>
      <c r="Y8" s="107">
        <f t="shared" si="8"/>
        <v>0</v>
      </c>
      <c r="Z8" s="124">
        <v>0</v>
      </c>
      <c r="AA8" s="107">
        <f t="shared" si="9"/>
        <v>0</v>
      </c>
      <c r="AB8" s="124">
        <v>0</v>
      </c>
      <c r="AC8" s="106">
        <f t="shared" si="10"/>
        <v>0</v>
      </c>
      <c r="AD8" s="124">
        <v>0</v>
      </c>
      <c r="AE8" s="107">
        <f t="shared" si="11"/>
        <v>0</v>
      </c>
      <c r="AF8" s="108">
        <f t="shared" si="12"/>
        <v>0</v>
      </c>
      <c r="AG8" s="154">
        <v>0</v>
      </c>
      <c r="AH8" s="149">
        <v>0</v>
      </c>
      <c r="AI8" s="149">
        <f t="shared" ca="1" si="13"/>
        <v>0</v>
      </c>
      <c r="AJ8" s="149">
        <f t="shared" ca="1" si="13"/>
        <v>0</v>
      </c>
      <c r="AK8" s="149">
        <f t="shared" ca="1" si="13"/>
        <v>0</v>
      </c>
    </row>
    <row r="9" spans="1:43" x14ac:dyDescent="0.3">
      <c r="A9" s="125"/>
      <c r="B9" s="126"/>
      <c r="C9" s="126"/>
      <c r="D9" s="122"/>
      <c r="E9" s="123"/>
      <c r="F9" s="119"/>
      <c r="G9" s="105"/>
      <c r="H9" s="127">
        <v>0</v>
      </c>
      <c r="I9" s="106">
        <f t="shared" si="0"/>
        <v>0</v>
      </c>
      <c r="J9" s="127">
        <v>0</v>
      </c>
      <c r="K9" s="107">
        <f t="shared" si="1"/>
        <v>0</v>
      </c>
      <c r="L9" s="127">
        <v>0</v>
      </c>
      <c r="M9" s="107">
        <f t="shared" si="2"/>
        <v>0</v>
      </c>
      <c r="N9" s="127">
        <v>0</v>
      </c>
      <c r="O9" s="107">
        <f t="shared" si="3"/>
        <v>0</v>
      </c>
      <c r="P9" s="127">
        <v>0</v>
      </c>
      <c r="Q9" s="107">
        <f t="shared" si="4"/>
        <v>0</v>
      </c>
      <c r="R9" s="127">
        <v>0</v>
      </c>
      <c r="S9" s="106">
        <f t="shared" si="5"/>
        <v>0</v>
      </c>
      <c r="T9" s="127">
        <v>0</v>
      </c>
      <c r="U9" s="107">
        <f t="shared" si="6"/>
        <v>0</v>
      </c>
      <c r="V9" s="127">
        <v>0</v>
      </c>
      <c r="W9" s="107">
        <f t="shared" si="7"/>
        <v>0</v>
      </c>
      <c r="X9" s="127">
        <v>0</v>
      </c>
      <c r="Y9" s="107">
        <f t="shared" si="8"/>
        <v>0</v>
      </c>
      <c r="Z9" s="127">
        <v>0</v>
      </c>
      <c r="AA9" s="107">
        <f t="shared" si="9"/>
        <v>0</v>
      </c>
      <c r="AB9" s="127">
        <v>0</v>
      </c>
      <c r="AC9" s="106">
        <f t="shared" si="10"/>
        <v>0</v>
      </c>
      <c r="AD9" s="127">
        <v>0</v>
      </c>
      <c r="AE9" s="107">
        <f t="shared" si="11"/>
        <v>0</v>
      </c>
      <c r="AF9" s="108">
        <f t="shared" si="12"/>
        <v>0</v>
      </c>
      <c r="AG9" s="154">
        <v>0</v>
      </c>
      <c r="AH9" s="149">
        <v>0</v>
      </c>
      <c r="AI9" s="149">
        <f t="shared" ca="1" si="13"/>
        <v>0</v>
      </c>
      <c r="AJ9" s="149">
        <f t="shared" ca="1" si="13"/>
        <v>0</v>
      </c>
      <c r="AK9" s="149">
        <f t="shared" ca="1" si="13"/>
        <v>0</v>
      </c>
    </row>
    <row r="10" spans="1:43" ht="17.399999999999999" x14ac:dyDescent="0.3">
      <c r="A10" s="125"/>
      <c r="B10" s="128"/>
      <c r="C10" s="128"/>
      <c r="D10" s="129"/>
      <c r="E10" s="130"/>
      <c r="F10" s="119"/>
      <c r="G10" s="105"/>
      <c r="H10" s="127">
        <v>0</v>
      </c>
      <c r="I10" s="106">
        <f t="shared" si="0"/>
        <v>0</v>
      </c>
      <c r="J10" s="127">
        <v>0</v>
      </c>
      <c r="K10" s="107">
        <f t="shared" si="1"/>
        <v>0</v>
      </c>
      <c r="L10" s="127">
        <v>0</v>
      </c>
      <c r="M10" s="107">
        <f t="shared" si="2"/>
        <v>0</v>
      </c>
      <c r="N10" s="127">
        <v>0</v>
      </c>
      <c r="O10" s="107">
        <f t="shared" si="3"/>
        <v>0</v>
      </c>
      <c r="P10" s="127">
        <v>0</v>
      </c>
      <c r="Q10" s="107">
        <f t="shared" si="4"/>
        <v>0</v>
      </c>
      <c r="R10" s="127">
        <v>0</v>
      </c>
      <c r="S10" s="106">
        <f t="shared" si="5"/>
        <v>0</v>
      </c>
      <c r="T10" s="127">
        <v>0</v>
      </c>
      <c r="U10" s="107">
        <f t="shared" si="6"/>
        <v>0</v>
      </c>
      <c r="V10" s="127">
        <v>0</v>
      </c>
      <c r="W10" s="107">
        <f t="shared" si="7"/>
        <v>0</v>
      </c>
      <c r="X10" s="127">
        <v>0</v>
      </c>
      <c r="Y10" s="107">
        <f t="shared" si="8"/>
        <v>0</v>
      </c>
      <c r="Z10" s="127">
        <v>0</v>
      </c>
      <c r="AA10" s="107">
        <f t="shared" si="9"/>
        <v>0</v>
      </c>
      <c r="AB10" s="127">
        <v>0</v>
      </c>
      <c r="AC10" s="106">
        <f t="shared" si="10"/>
        <v>0</v>
      </c>
      <c r="AD10" s="127">
        <v>0</v>
      </c>
      <c r="AE10" s="107">
        <f t="shared" si="11"/>
        <v>0</v>
      </c>
      <c r="AF10" s="108">
        <f t="shared" si="12"/>
        <v>0</v>
      </c>
      <c r="AG10" s="154">
        <v>0</v>
      </c>
      <c r="AH10" s="149">
        <v>0</v>
      </c>
      <c r="AI10" s="149">
        <f t="shared" ca="1" si="13"/>
        <v>0</v>
      </c>
      <c r="AJ10" s="149">
        <f t="shared" ca="1" si="13"/>
        <v>0</v>
      </c>
      <c r="AK10" s="149">
        <f t="shared" ca="1" si="13"/>
        <v>0</v>
      </c>
    </row>
    <row r="11" spans="1:43" x14ac:dyDescent="0.3">
      <c r="A11" s="125"/>
      <c r="B11" s="126"/>
      <c r="C11" s="126"/>
      <c r="D11" s="129"/>
      <c r="E11" s="130"/>
      <c r="F11" s="119"/>
      <c r="G11" s="105"/>
      <c r="H11" s="127">
        <v>0</v>
      </c>
      <c r="I11" s="106">
        <f t="shared" si="0"/>
        <v>0</v>
      </c>
      <c r="J11" s="127">
        <v>0</v>
      </c>
      <c r="K11" s="107">
        <f t="shared" si="1"/>
        <v>0</v>
      </c>
      <c r="L11" s="127">
        <v>0</v>
      </c>
      <c r="M11" s="107">
        <f t="shared" si="2"/>
        <v>0</v>
      </c>
      <c r="N11" s="127">
        <v>0</v>
      </c>
      <c r="O11" s="107">
        <f t="shared" si="3"/>
        <v>0</v>
      </c>
      <c r="P11" s="127">
        <v>0</v>
      </c>
      <c r="Q11" s="107">
        <f t="shared" si="4"/>
        <v>0</v>
      </c>
      <c r="R11" s="127">
        <v>0</v>
      </c>
      <c r="S11" s="106">
        <f t="shared" si="5"/>
        <v>0</v>
      </c>
      <c r="T11" s="127">
        <v>0</v>
      </c>
      <c r="U11" s="107">
        <f t="shared" si="6"/>
        <v>0</v>
      </c>
      <c r="V11" s="127">
        <v>0</v>
      </c>
      <c r="W11" s="107">
        <f t="shared" si="7"/>
        <v>0</v>
      </c>
      <c r="X11" s="127">
        <v>0</v>
      </c>
      <c r="Y11" s="107">
        <f t="shared" si="8"/>
        <v>0</v>
      </c>
      <c r="Z11" s="127">
        <v>0</v>
      </c>
      <c r="AA11" s="107">
        <f t="shared" si="9"/>
        <v>0</v>
      </c>
      <c r="AB11" s="127">
        <v>0</v>
      </c>
      <c r="AC11" s="106">
        <f t="shared" si="10"/>
        <v>0</v>
      </c>
      <c r="AD11" s="127">
        <v>0</v>
      </c>
      <c r="AE11" s="107">
        <f t="shared" si="11"/>
        <v>0</v>
      </c>
      <c r="AF11" s="108">
        <f t="shared" si="12"/>
        <v>0</v>
      </c>
      <c r="AG11" s="154">
        <v>0</v>
      </c>
      <c r="AH11" s="149">
        <v>0</v>
      </c>
      <c r="AI11" s="149">
        <f t="shared" ca="1" si="13"/>
        <v>0</v>
      </c>
      <c r="AJ11" s="149">
        <f t="shared" ca="1" si="13"/>
        <v>0</v>
      </c>
      <c r="AK11" s="149">
        <f t="shared" ca="1" si="13"/>
        <v>0</v>
      </c>
    </row>
    <row r="12" spans="1:43" x14ac:dyDescent="0.3">
      <c r="A12" s="125"/>
      <c r="B12" s="126"/>
      <c r="C12" s="126"/>
      <c r="D12" s="129"/>
      <c r="E12" s="130"/>
      <c r="F12" s="119"/>
      <c r="G12" s="105"/>
      <c r="H12" s="127">
        <v>0</v>
      </c>
      <c r="I12" s="106">
        <f t="shared" si="0"/>
        <v>0</v>
      </c>
      <c r="J12" s="127">
        <v>0</v>
      </c>
      <c r="K12" s="107">
        <f t="shared" si="1"/>
        <v>0</v>
      </c>
      <c r="L12" s="127">
        <v>0</v>
      </c>
      <c r="M12" s="107">
        <f t="shared" si="2"/>
        <v>0</v>
      </c>
      <c r="N12" s="127">
        <v>0</v>
      </c>
      <c r="O12" s="107">
        <f t="shared" si="3"/>
        <v>0</v>
      </c>
      <c r="P12" s="127">
        <v>0</v>
      </c>
      <c r="Q12" s="107">
        <f t="shared" si="4"/>
        <v>0</v>
      </c>
      <c r="R12" s="127">
        <v>0</v>
      </c>
      <c r="S12" s="106">
        <f t="shared" si="5"/>
        <v>0</v>
      </c>
      <c r="T12" s="127">
        <v>0</v>
      </c>
      <c r="U12" s="107">
        <f t="shared" si="6"/>
        <v>0</v>
      </c>
      <c r="V12" s="127">
        <v>0</v>
      </c>
      <c r="W12" s="107">
        <f t="shared" si="7"/>
        <v>0</v>
      </c>
      <c r="X12" s="127">
        <v>0</v>
      </c>
      <c r="Y12" s="107">
        <f t="shared" si="8"/>
        <v>0</v>
      </c>
      <c r="Z12" s="127">
        <v>0</v>
      </c>
      <c r="AA12" s="107">
        <f t="shared" si="9"/>
        <v>0</v>
      </c>
      <c r="AB12" s="127">
        <v>0</v>
      </c>
      <c r="AC12" s="106">
        <f t="shared" si="10"/>
        <v>0</v>
      </c>
      <c r="AD12" s="127">
        <v>0</v>
      </c>
      <c r="AE12" s="107">
        <f t="shared" si="11"/>
        <v>0</v>
      </c>
      <c r="AF12" s="108">
        <f t="shared" si="12"/>
        <v>0</v>
      </c>
      <c r="AG12" s="154">
        <v>0</v>
      </c>
      <c r="AH12" s="149">
        <v>0</v>
      </c>
      <c r="AI12" s="149">
        <f t="shared" ca="1" si="13"/>
        <v>0</v>
      </c>
      <c r="AJ12" s="149">
        <f t="shared" ca="1" si="13"/>
        <v>0</v>
      </c>
      <c r="AK12" s="149">
        <f t="shared" ca="1" si="13"/>
        <v>0</v>
      </c>
    </row>
    <row r="13" spans="1:43" ht="15" thickBot="1" x14ac:dyDescent="0.35">
      <c r="A13" s="131"/>
      <c r="B13" s="132"/>
      <c r="C13" s="132"/>
      <c r="D13" s="133"/>
      <c r="E13" s="134"/>
      <c r="F13" s="119"/>
      <c r="G13" s="105"/>
      <c r="H13" s="127">
        <v>0</v>
      </c>
      <c r="I13" s="106">
        <f t="shared" si="0"/>
        <v>0</v>
      </c>
      <c r="J13" s="127">
        <v>0</v>
      </c>
      <c r="K13" s="107">
        <f t="shared" si="1"/>
        <v>0</v>
      </c>
      <c r="L13" s="127">
        <v>0</v>
      </c>
      <c r="M13" s="107">
        <f t="shared" si="2"/>
        <v>0</v>
      </c>
      <c r="N13" s="127">
        <v>0</v>
      </c>
      <c r="O13" s="107">
        <f t="shared" si="3"/>
        <v>0</v>
      </c>
      <c r="P13" s="127">
        <v>0</v>
      </c>
      <c r="Q13" s="107">
        <f t="shared" si="4"/>
        <v>0</v>
      </c>
      <c r="R13" s="127">
        <v>0</v>
      </c>
      <c r="S13" s="106">
        <f t="shared" si="5"/>
        <v>0</v>
      </c>
      <c r="T13" s="127">
        <v>0</v>
      </c>
      <c r="U13" s="107">
        <f t="shared" si="6"/>
        <v>0</v>
      </c>
      <c r="V13" s="127">
        <v>0</v>
      </c>
      <c r="W13" s="107">
        <f t="shared" si="7"/>
        <v>0</v>
      </c>
      <c r="X13" s="127">
        <v>0</v>
      </c>
      <c r="Y13" s="107">
        <f t="shared" si="8"/>
        <v>0</v>
      </c>
      <c r="Z13" s="127">
        <v>0</v>
      </c>
      <c r="AA13" s="107">
        <f t="shared" si="9"/>
        <v>0</v>
      </c>
      <c r="AB13" s="127">
        <v>0</v>
      </c>
      <c r="AC13" s="106">
        <f t="shared" si="10"/>
        <v>0</v>
      </c>
      <c r="AD13" s="127">
        <v>0</v>
      </c>
      <c r="AE13" s="107">
        <f t="shared" si="11"/>
        <v>0</v>
      </c>
      <c r="AF13" s="108">
        <f t="shared" si="12"/>
        <v>0</v>
      </c>
      <c r="AG13" s="154">
        <v>0</v>
      </c>
      <c r="AH13" s="149">
        <v>0</v>
      </c>
      <c r="AI13" s="149">
        <f t="shared" ca="1" si="13"/>
        <v>0</v>
      </c>
      <c r="AJ13" s="149">
        <f t="shared" ca="1" si="13"/>
        <v>0</v>
      </c>
      <c r="AK13" s="149">
        <f t="shared" ca="1" si="13"/>
        <v>0</v>
      </c>
    </row>
    <row r="14" spans="1:43" ht="16.2" thickTop="1" x14ac:dyDescent="0.3">
      <c r="A14" s="109"/>
      <c r="B14" s="110"/>
      <c r="C14" s="110"/>
      <c r="D14" s="111"/>
      <c r="E14" s="111"/>
      <c r="F14" s="112"/>
      <c r="G14" s="113" t="s">
        <v>84</v>
      </c>
      <c r="H14" s="114"/>
      <c r="I14" s="110"/>
      <c r="J14" s="114"/>
      <c r="K14" s="110"/>
      <c r="L14" s="114"/>
      <c r="M14" s="110"/>
      <c r="N14" s="114"/>
      <c r="O14" s="110"/>
      <c r="P14" s="114"/>
      <c r="Q14" s="112"/>
      <c r="R14" s="114"/>
      <c r="S14" s="110"/>
      <c r="T14" s="114"/>
      <c r="U14" s="110"/>
      <c r="V14" s="114"/>
      <c r="W14" s="110"/>
      <c r="X14" s="114"/>
      <c r="Y14" s="110"/>
      <c r="Z14" s="114"/>
      <c r="AA14" s="112"/>
      <c r="AB14" s="114"/>
      <c r="AC14" s="110"/>
      <c r="AD14" s="114"/>
      <c r="AE14" s="110"/>
      <c r="AF14" s="115">
        <f>SUM(AF5:AF13)</f>
        <v>12259.170000000002</v>
      </c>
      <c r="AG14" s="150">
        <f>SUM(AG5:AG13)</f>
        <v>0</v>
      </c>
      <c r="AH14" s="150">
        <f>SUM(AH5:AH13)</f>
        <v>0</v>
      </c>
      <c r="AI14" s="150">
        <v>0</v>
      </c>
      <c r="AJ14" s="150">
        <v>0</v>
      </c>
      <c r="AK14" s="150">
        <v>0</v>
      </c>
      <c r="AL14" s="110"/>
      <c r="AM14" s="110"/>
      <c r="AN14" s="110"/>
      <c r="AO14" s="110"/>
      <c r="AP14" s="110"/>
      <c r="AQ14" s="148"/>
    </row>
    <row r="16" spans="1:43" x14ac:dyDescent="0.3">
      <c r="AB16" s="153"/>
      <c r="AD16" s="152" t="s">
        <v>85</v>
      </c>
      <c r="AE16" s="152"/>
      <c r="AF16" s="149">
        <v>12259.17</v>
      </c>
      <c r="AG16" s="153"/>
      <c r="AH16" s="151"/>
    </row>
    <row r="17" spans="30:32" x14ac:dyDescent="0.3">
      <c r="AD17" t="s">
        <v>86</v>
      </c>
      <c r="AF17" s="149"/>
    </row>
    <row r="18" spans="30:32" x14ac:dyDescent="0.3">
      <c r="AD18" t="s">
        <v>87</v>
      </c>
      <c r="AF18" s="149"/>
    </row>
    <row r="19" spans="30:32" x14ac:dyDescent="0.3">
      <c r="AF19" s="149"/>
    </row>
    <row r="20" spans="30:32" x14ac:dyDescent="0.3">
      <c r="AD20" s="160" t="s">
        <v>88</v>
      </c>
      <c r="AE20" s="160"/>
      <c r="AF20" s="161">
        <f>SUM(AF16:AF19)</f>
        <v>12259.17</v>
      </c>
    </row>
  </sheetData>
  <mergeCells count="1">
    <mergeCell ref="A1:XFD1"/>
  </mergeCells>
  <hyperlinks>
    <hyperlink ref="C5" r:id="rId1" xr:uid="{D6F1E03B-E742-4CE0-A242-F62EA52F8EDC}"/>
    <hyperlink ref="AM5" r:id="rId2" xr:uid="{26D0B684-9478-42A9-AEAC-DECC7E62DD1C}"/>
  </hyperlinks>
  <pageMargins left="0.7" right="0.7" top="0.75" bottom="0.75" header="0.3" footer="0.3"/>
  <pageSetup orientation="portrait"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2F602A01B0B340B6D21BA83873DA50" ma:contentTypeVersion="26" ma:contentTypeDescription="Create a new document." ma:contentTypeScope="" ma:versionID="70265052aadad864d5852020c23fd39b">
  <xsd:schema xmlns:xsd="http://www.w3.org/2001/XMLSchema" xmlns:xs="http://www.w3.org/2001/XMLSchema" xmlns:p="http://schemas.microsoft.com/office/2006/metadata/properties" xmlns:ns1="http://schemas.microsoft.com/sharepoint/v3" xmlns:ns2="60c62f94-f358-4335-b8f4-75afda2ace39" xmlns:ns3="6ed379a8-7118-486e-9766-05430038f918" targetNamespace="http://schemas.microsoft.com/office/2006/metadata/properties" ma:root="true" ma:fieldsID="3829223f22b3e56ea101e314d347ee3e" ns1:_="" ns2:_="" ns3:_="">
    <xsd:import namespace="http://schemas.microsoft.com/sharepoint/v3"/>
    <xsd:import namespace="60c62f94-f358-4335-b8f4-75afda2ace39"/>
    <xsd:import namespace="6ed379a8-7118-486e-9766-05430038f9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3:_dlc_DocId" minOccurs="0"/>
                <xsd:element ref="ns3:_dlc_DocIdUrl" minOccurs="0"/>
                <xsd:element ref="ns3:_dlc_DocIdPersistId" minOccurs="0"/>
                <xsd:element ref="ns2:MediaServiceObjectDetectorVersions" minOccurs="0"/>
                <xsd:element ref="ns2:AssignedOPR" minOccurs="0"/>
                <xsd:element ref="ns2:Notes" minOccurs="0"/>
                <xsd:element ref="ns2:TaskSummary" minOccurs="0"/>
                <xsd:element ref="ns2:HardSuspenseDate" minOccurs="0"/>
                <xsd:element ref="ns2:TaskerSource" minOccurs="0"/>
                <xsd:element ref="ns2:SuspenseDeadline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62f94-f358-4335-b8f4-75afda2ace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ignedOPR" ma:index="18" nillable="true" ma:displayName="Assigned OPR" ma:format="Dropdown" ma:internalName="AssignedOPR">
      <xsd:simpleType>
        <xsd:union memberTypes="dms:Text">
          <xsd:simpleType>
            <xsd:restriction base="dms:Choice">
              <xsd:enumeration value="ARD-CCPI"/>
              <xsd:enumeration value="ARD-IPI"/>
              <xsd:enumeration value="ARD_WF"/>
            </xsd:restriction>
          </xsd:simpleType>
        </xsd:union>
      </xsd:simpleType>
    </xsd:element>
    <xsd:element name="Notes" ma:index="19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TaskSummary" ma:index="20" nillable="true" ma:displayName="Task Summary" ma:format="Dropdown" ma:internalName="TaskSummary">
      <xsd:simpleType>
        <xsd:restriction base="dms:Text">
          <xsd:maxLength value="255"/>
        </xsd:restriction>
      </xsd:simpleType>
    </xsd:element>
    <xsd:element name="HardSuspenseDate" ma:index="21" nillable="true" ma:displayName="Hard Suspense Date" ma:format="DateOnly" ma:internalName="HardSuspenseDate">
      <xsd:simpleType>
        <xsd:restriction base="dms:DateTime"/>
      </xsd:simpleType>
    </xsd:element>
    <xsd:element name="TaskerSource" ma:index="22" nillable="true" ma:displayName="Tasker Source" ma:format="Dropdown" ma:internalName="TaskerSource">
      <xsd:simpleType>
        <xsd:union memberTypes="dms:Text">
          <xsd:simpleType>
            <xsd:restriction base="dms:Choice">
              <xsd:enumeration value="ETMS2"/>
              <xsd:enumeration value="Email"/>
              <xsd:enumeration value="FO-Internal"/>
            </xsd:restriction>
          </xsd:simpleType>
        </xsd:union>
      </xsd:simpleType>
    </xsd:element>
    <xsd:element name="SuspenseDeadline" ma:index="23" nillable="true" ma:displayName="Suspense Deadline" ma:format="DateOnly" ma:internalName="SuspenseDeadline">
      <xsd:simpleType>
        <xsd:restriction base="dms:DateTim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379a8-7118-486e-9766-05430038f9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9" nillable="true" ma:displayName="Taxonomy Catch All Column" ma:hidden="true" ma:list="{f9f986c6-a8c8-4583-b6ed-2fbae3d99ceb}" ma:internalName="TaxCatchAll" ma:showField="CatchAllData" ma:web="6ed379a8-7118-486e-9766-05430038f9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ed379a8-7118-486e-9766-05430038f918" xsi:nil="true"/>
    <lcf76f155ced4ddcb4097134ff3c332f xmlns="60c62f94-f358-4335-b8f4-75afda2ace39">
      <Terms xmlns="http://schemas.microsoft.com/office/infopath/2007/PartnerControls"/>
    </lcf76f155ced4ddcb4097134ff3c332f>
    <TaskerSource xmlns="60c62f94-f358-4335-b8f4-75afda2ace39" xsi:nil="true"/>
    <SuspenseDeadline xmlns="60c62f94-f358-4335-b8f4-75afda2ace39" xsi:nil="true"/>
    <AssignedOPR xmlns="60c62f94-f358-4335-b8f4-75afda2ace39" xsi:nil="true"/>
    <TaskSummary xmlns="60c62f94-f358-4335-b8f4-75afda2ace39" xsi:nil="true"/>
    <HardSuspenseDate xmlns="60c62f94-f358-4335-b8f4-75afda2ace39" xsi:nil="true"/>
    <Notes xmlns="60c62f94-f358-4335-b8f4-75afda2ace39" xsi:nil="true"/>
    <_dlc_DocId xmlns="6ed379a8-7118-486e-9766-05430038f918">ARLARD-1295398666-126861</_dlc_DocId>
    <_dlc_DocIdUrl xmlns="6ed379a8-7118-486e-9766-05430038f918">
      <Url>https://armyeitaas.sharepoint-mil.us/teams/DEVCOM_ARL_ARD2/_layouts/15/DocIdRedir.aspx?ID=ARLARD-1295398666-126861</Url>
      <Description>ARLARD-1295398666-126861</Description>
    </_dlc_DocIdUrl>
  </documentManagement>
</p:properties>
</file>

<file path=customXml/item4.xml><?xml version="1.0" encoding="utf-8"?>
<LongProperties xmlns="http://schemas.microsoft.com/office/2006/metadata/longProperties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979C14C-5E39-4A98-B7EB-D7ED477F97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A66408-6EBA-452C-8D18-17FCCF4BD0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c62f94-f358-4335-b8f4-75afda2ace39"/>
    <ds:schemaRef ds:uri="6ed379a8-7118-486e-9766-05430038f9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14DF70-4268-4925-AEB7-13B6554D7BF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ed379a8-7118-486e-9766-05430038f918"/>
    <ds:schemaRef ds:uri="60c62f94-f358-4335-b8f4-75afda2ace39"/>
  </ds:schemaRefs>
</ds:datastoreItem>
</file>

<file path=customXml/itemProps4.xml><?xml version="1.0" encoding="utf-8"?>
<ds:datastoreItem xmlns:ds="http://schemas.openxmlformats.org/officeDocument/2006/customXml" ds:itemID="{047F67B6-5E8E-444F-9FC4-85F66BD85EB6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713A426C-EF63-43AC-95E3-B9582A9A889E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Undergraduate</vt:lpstr>
      <vt:lpstr>Worksheet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AEOP UAP - Undergraduate Recent Grads - Stipend Sheet</dc:title>
  <dc:subject/>
  <dc:creator>sandra.collier</dc:creator>
  <cp:keywords/>
  <dc:description/>
  <cp:lastModifiedBy>Diggs, Danell A. (Civ)</cp:lastModifiedBy>
  <cp:revision/>
  <dcterms:created xsi:type="dcterms:W3CDTF">2016-04-07T16:30:03Z</dcterms:created>
  <dcterms:modified xsi:type="dcterms:W3CDTF">2025-04-11T14:44:04Z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AXT6CZWE76DF-40-245</vt:lpwstr>
  </property>
  <property fmtid="{D5CDD505-2E9C-101B-9397-08002B2CF9AE}" pid="3" name="_dlc_DocIdItemGuid">
    <vt:lpwstr>076dd62a-0a5f-4998-9329-bd9499c37ab6</vt:lpwstr>
  </property>
  <property fmtid="{D5CDD505-2E9C-101B-9397-08002B2CF9AE}" pid="4" name="_dlc_DocIdUrl">
    <vt:lpwstr>https://arl.apgea.army.mil/bpm/ARLStudentPrograms/OSP/_layouts/15/DocIdRedir.aspx?ID=AXT6CZWE76DF-40-245, AXT6CZWE76DF-40-245</vt:lpwstr>
  </property>
  <property fmtid="{D5CDD505-2E9C-101B-9397-08002B2CF9AE}" pid="5" name="TaxKeyword">
    <vt:lpwstr/>
  </property>
  <property fmtid="{D5CDD505-2E9C-101B-9397-08002B2CF9AE}" pid="6" name="ContentTypeId">
    <vt:lpwstr>0x010100F22F602A01B0B340B6D21BA83873DA50</vt:lpwstr>
  </property>
  <property fmtid="{D5CDD505-2E9C-101B-9397-08002B2CF9AE}" pid="7" name="MediaServiceImageTags">
    <vt:lpwstr/>
  </property>
  <property fmtid="{D5CDD505-2E9C-101B-9397-08002B2CF9AE}" pid="8" name="Order">
    <vt:r8>1415500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</Properties>
</file>