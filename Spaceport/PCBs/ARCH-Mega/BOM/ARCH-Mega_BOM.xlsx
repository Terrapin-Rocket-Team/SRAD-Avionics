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alav_16\College\terrapin_rocket\github\SRAD_Avionics_1\SRAD-Avionics\Spaceport\PCBs\ARCH-Mega\BOM\"/>
    </mc:Choice>
  </mc:AlternateContent>
  <xr:revisionPtr revIDLastSave="0" documentId="13_ncr:1_{1D577AAF-582E-48DC-898F-87DAB8C41FDC}" xr6:coauthVersionLast="47" xr6:coauthVersionMax="47" xr10:uidLastSave="{00000000-0000-0000-0000-000000000000}"/>
  <bookViews>
    <workbookView xWindow="-120" yWindow="-120" windowWidth="38640" windowHeight="21120" xr2:uid="{BFC3F118-C025-4DFF-9FE5-C20B848F3DC7}"/>
  </bookViews>
  <sheets>
    <sheet name="ARCH-Mega" sheetId="1" r:id="rId1"/>
  </sheets>
  <calcPr calcId="0"/>
</workbook>
</file>

<file path=xl/sharedStrings.xml><?xml version="1.0" encoding="utf-8"?>
<sst xmlns="http://schemas.openxmlformats.org/spreadsheetml/2006/main" count="318" uniqueCount="201">
  <si>
    <t>Reference</t>
  </si>
  <si>
    <t>Qty</t>
  </si>
  <si>
    <t>Value</t>
  </si>
  <si>
    <t>Footprint</t>
  </si>
  <si>
    <t>Datasheet</t>
  </si>
  <si>
    <t>5V_1,BSTAT1,ECHG1,PWR1,PWR2,PWR3,PWR4,PWR5,PWR6,STAT1</t>
  </si>
  <si>
    <t>LED</t>
  </si>
  <si>
    <t>LED_SMD:LED_0805_2012Metric_Pad1.15x1.40mm_HandSolder</t>
  </si>
  <si>
    <t>C1,C3,C6,C8,C26,C36,C37,C38,C39,C40,C42,C46,C49,C56,C57,C58</t>
  </si>
  <si>
    <t>100nF</t>
  </si>
  <si>
    <t>Capacitor_SMD:C_0603_1608Metric</t>
  </si>
  <si>
    <t>C2,C10</t>
  </si>
  <si>
    <t>22uF</t>
  </si>
  <si>
    <t>Capacitor_SMD:C_0805_2012Metric</t>
  </si>
  <si>
    <t>C4</t>
  </si>
  <si>
    <t>100uF</t>
  </si>
  <si>
    <t>Avionics:Wurth_SMD_Cap</t>
  </si>
  <si>
    <t>C5,C28,C32,C41,C44,C47,C50,C51,C52</t>
  </si>
  <si>
    <t>2.2uF</t>
  </si>
  <si>
    <t>C7,C25</t>
  </si>
  <si>
    <t>470pF</t>
  </si>
  <si>
    <t>C9</t>
  </si>
  <si>
    <t>4.7uF</t>
  </si>
  <si>
    <t>C11</t>
  </si>
  <si>
    <t>220uF</t>
  </si>
  <si>
    <t>C15,C31,C33,C34,C35</t>
  </si>
  <si>
    <t>1uF</t>
  </si>
  <si>
    <t>C27</t>
  </si>
  <si>
    <t>47nF</t>
  </si>
  <si>
    <t>C29,C30</t>
  </si>
  <si>
    <t>10uF</t>
  </si>
  <si>
    <t>C43,C45,C48,C53,C54,C55</t>
  </si>
  <si>
    <t>3.3nF</t>
  </si>
  <si>
    <t>D1,D2</t>
  </si>
  <si>
    <t>D_Schottky</t>
  </si>
  <si>
    <t>Avionics:Schottky_3A_DO-214AC_SMA</t>
  </si>
  <si>
    <t>D3,D4,D5,D6</t>
  </si>
  <si>
    <t>LED_SMD:LED_01005_0402Metric</t>
  </si>
  <si>
    <t>J1,J6</t>
  </si>
  <si>
    <t>Conn_01x04</t>
  </si>
  <si>
    <t>Avionics:JST_XH_1x4_P2.50mm_Horizontal_Small</t>
  </si>
  <si>
    <t>J2</t>
  </si>
  <si>
    <t>Conn_01x05_Pin</t>
  </si>
  <si>
    <t>Connector_PinHeader_2.54mm:PinHeader_1x05_P2.54mm_Vertical</t>
  </si>
  <si>
    <t>J3</t>
  </si>
  <si>
    <t>USB_C_Receptacle_USB2.0_16P</t>
  </si>
  <si>
    <t>Connector_USB:USB_C_Receptacle_GCT_USB4105-xx-A_16P_TopMnt_Horizontal</t>
  </si>
  <si>
    <t>https://www.usb.org/sites/default/files/documents/usb_type-c.zip</t>
  </si>
  <si>
    <t>J4</t>
  </si>
  <si>
    <t>SW</t>
  </si>
  <si>
    <t>Avionics:JST_XH_1x2_P2.50mm_Horizontal_Small</t>
  </si>
  <si>
    <t>J5</t>
  </si>
  <si>
    <t>BAT</t>
  </si>
  <si>
    <t>Avionics:HPWR_CONN_CP-01404140</t>
  </si>
  <si>
    <t>J7</t>
  </si>
  <si>
    <t>Conn_01x03</t>
  </si>
  <si>
    <t>Avionics:JST_XH_1x3_P2.50mm_Horizontal_Small</t>
  </si>
  <si>
    <t>J8</t>
  </si>
  <si>
    <t>Conn_01x02</t>
  </si>
  <si>
    <t>Connector_PinHeader_2.54mm:PinHeader_1x02_P2.54mm_Vertical</t>
  </si>
  <si>
    <t>L1</t>
  </si>
  <si>
    <t>1.5uH</t>
  </si>
  <si>
    <t>Avionics:HCM1A1305</t>
  </si>
  <si>
    <t>L2</t>
  </si>
  <si>
    <t>2.2uH</t>
  </si>
  <si>
    <t>Avionics:AMPI0640ED2R2MT</t>
  </si>
  <si>
    <t>OPWR1,OPWR2,OPWR3,OPWR4,OPWR5,OPWR6</t>
  </si>
  <si>
    <t>JST</t>
  </si>
  <si>
    <t>custom_footprints:JST_S2B-PH-K-S_LF__SN_</t>
  </si>
  <si>
    <t>Q1</t>
  </si>
  <si>
    <t>PMOS</t>
  </si>
  <si>
    <t>Avionics:STL6P3LLH6</t>
  </si>
  <si>
    <t>https://ngspice.sourceforge.io/docs/ngspice-html-manual/manual.xhtml#cha_MOSFETs</t>
  </si>
  <si>
    <t>Q2,Q3,Q5</t>
  </si>
  <si>
    <t>Avionics:SI7615ADN-T1-GE3</t>
  </si>
  <si>
    <t>Q4,Q6</t>
  </si>
  <si>
    <t>NMOS</t>
  </si>
  <si>
    <t>Avionics:2N7002</t>
  </si>
  <si>
    <t>R1,R12,R13,R14,R15,R23,R69,R70</t>
  </si>
  <si>
    <t>100k</t>
  </si>
  <si>
    <t>Resistor_SMD:R_0603_1608Metric</t>
  </si>
  <si>
    <t>R2,R8</t>
  </si>
  <si>
    <t>15k</t>
  </si>
  <si>
    <t>R3,R18,R20,R24,R30,R32,R33,R34,R44</t>
  </si>
  <si>
    <t>10k</t>
  </si>
  <si>
    <t>R4,R9,R46,R47,R52,R53,R54,R55,R60,R62,R66,R67,R68</t>
  </si>
  <si>
    <t>2k</t>
  </si>
  <si>
    <t>R5,R25,R41,R43</t>
  </si>
  <si>
    <t>10.7k</t>
  </si>
  <si>
    <t>R6,R31</t>
  </si>
  <si>
    <t>19.1k</t>
  </si>
  <si>
    <t>R7</t>
  </si>
  <si>
    <t>110k</t>
  </si>
  <si>
    <t>R10,R11</t>
  </si>
  <si>
    <t>4.7k</t>
  </si>
  <si>
    <t>R16</t>
  </si>
  <si>
    <t>90.9k</t>
  </si>
  <si>
    <t>R17,R19</t>
  </si>
  <si>
    <t>13.7k</t>
  </si>
  <si>
    <t>R21,R27,R28,R39</t>
  </si>
  <si>
    <t>1k</t>
  </si>
  <si>
    <t>R22</t>
  </si>
  <si>
    <t>22k</t>
  </si>
  <si>
    <t>R26,R35,R36</t>
  </si>
  <si>
    <t>R29</t>
  </si>
  <si>
    <t>R37</t>
  </si>
  <si>
    <t>R38</t>
  </si>
  <si>
    <t>R40</t>
  </si>
  <si>
    <t>17.4k</t>
  </si>
  <si>
    <t>R42</t>
  </si>
  <si>
    <t>36.5k</t>
  </si>
  <si>
    <t>R45</t>
  </si>
  <si>
    <t>20k</t>
  </si>
  <si>
    <t>R48,R59,R61,R63,R64,R65</t>
  </si>
  <si>
    <t>R49,R50,R51,R56,R57,R58</t>
  </si>
  <si>
    <t>U1</t>
  </si>
  <si>
    <t>STM32C011F6U6TR</t>
  </si>
  <si>
    <t>Avionics:STM32C011F6U6TR</t>
  </si>
  <si>
    <t>U2</t>
  </si>
  <si>
    <t>TPS51388VABR</t>
  </si>
  <si>
    <t>Avionics:TPS513885VABR</t>
  </si>
  <si>
    <t>https://www.ti.com/lit/gpn/tps513885</t>
  </si>
  <si>
    <t>U3</t>
  </si>
  <si>
    <t>LDL212PVR</t>
  </si>
  <si>
    <t>Avionics:LDL212PVR</t>
  </si>
  <si>
    <t>https://www.st.com/resource/en/datasheet/ldl212.pdf</t>
  </si>
  <si>
    <t>U4,U5,U6,U7,U8,U9</t>
  </si>
  <si>
    <t>TPS259531DSGR</t>
  </si>
  <si>
    <t>custom_footprints:SON50P200X200X80-9N</t>
  </si>
  <si>
    <t>U10</t>
  </si>
  <si>
    <t>BQ25306RTER</t>
  </si>
  <si>
    <t>Avionics:BQ25306RTER</t>
  </si>
  <si>
    <t>U11</t>
  </si>
  <si>
    <t>STUSB4500QTR</t>
  </si>
  <si>
    <t>Avionics:STUSB4500QTR</t>
  </si>
  <si>
    <t>https://www.st.com/resource/en/datasheet/stusb4500.pdf</t>
  </si>
  <si>
    <t>U12</t>
  </si>
  <si>
    <t>BQ29200DRBR</t>
  </si>
  <si>
    <t>Avionics:BQ2900DRBR</t>
  </si>
  <si>
    <t>U13,U14</t>
  </si>
  <si>
    <t>INA3221</t>
  </si>
  <si>
    <t>custom_footprints:QFN65P400X400X100-17N</t>
  </si>
  <si>
    <t>http://www.ti.com/lit/ds/symlink/ina3221.pdf</t>
  </si>
  <si>
    <t xml:space="preserve">Availability </t>
  </si>
  <si>
    <t>In Stock</t>
  </si>
  <si>
    <t>Out of Stock</t>
  </si>
  <si>
    <t>Distributor</t>
  </si>
  <si>
    <t>Link</t>
  </si>
  <si>
    <t>MPN</t>
  </si>
  <si>
    <t>INA3221AIRGVR</t>
  </si>
  <si>
    <t>https://www.digikey.com/en/products/detail/texas-instruments/INA3221AIRGVR/3588826</t>
  </si>
  <si>
    <t>https://www.digikey.com/en/products/detail/texas-instruments/BQ29200DRBR/2348534?s=N4IgTCBcDaIEIEUwE4wAY0BEBKdsgF0BfIA</t>
  </si>
  <si>
    <t>DigiKey</t>
  </si>
  <si>
    <t>https://www.digikey.com/en/products/detail/stmicroelectronics/STUSB4500QTR/9092189?s=N4IgTCBcDaIMoBUCqcBCAWArABmwRQQCUQBdAXyA</t>
  </si>
  <si>
    <t>https://www.digikey.com/en/products/detail/texas-instruments/BQ25306RTER/13562987?s=N4IgTCBcDaIEIEUwFYDMAGAbAJQCoFFsQBdAXyA</t>
  </si>
  <si>
    <t>https://www.digikey.com/en/products/detail/texas-instruments/TPS259531DSGR/8021096?s=N4IgTCBcDaICoAUDKYCsBOVBmAjAESQHEAlEAXQF8g</t>
  </si>
  <si>
    <t>https://www.digikey.com/en/products/detail/stmicroelectronics/LDL212PVR/6230112?s=N4IgTCBcDaIDIBE5gIxgAoDUBKIC6AvkA</t>
  </si>
  <si>
    <t>TPS513885VABR</t>
  </si>
  <si>
    <t>https://www.digikey.com/en/products/detail/texas-instruments/TPS513885VABR/24708437?s=N4IgTCBcDaICoAUDKBWAjAZgBxZQNQEEAhAJRAF0BfIA</t>
  </si>
  <si>
    <t xml:space="preserve">STM32C011F6U6TR </t>
  </si>
  <si>
    <t>Mouser</t>
  </si>
  <si>
    <t>https://www.mouser.com/en/ProductDetail/STMicroelectronics/STM32C011F6U6TR?qs=IPgv5n7u5Qau3%252BO3S1Q91A%3D%3D</t>
  </si>
  <si>
    <t>2N7002-7-F</t>
  </si>
  <si>
    <t>SI7615ADN-T1-GE3</t>
  </si>
  <si>
    <t>https://www.digikey.com/en/products/detail/vishay-siliconix/SI7615ADN-T1-GE3/3458156?s=N4IgTCBcDaIMoEkDsA2AjAVgIIBEByAtACpoEDiAogMwgC6AvkA</t>
  </si>
  <si>
    <t>STL6P3LLH6</t>
  </si>
  <si>
    <t>https://www.digikey.com/en/products/detail/stmicroelectronics/STL6P3LLH6/5170838?s=N4IgTCBcDaIMoBUAyA2ACgZiUgEikAugL5A</t>
  </si>
  <si>
    <t>S2P-VH</t>
  </si>
  <si>
    <t>https://www.digikey.com/en/products/detail/jst-sales-america-inc/S2P-VH/9924227</t>
  </si>
  <si>
    <t>Add-ons</t>
  </si>
  <si>
    <t>VHR-2N</t>
  </si>
  <si>
    <t>VHR-2N (JST female connector)</t>
  </si>
  <si>
    <t>https://www.digikey.com/en/products/detail/jst-sales-america-inc/VHR-2N/608624</t>
  </si>
  <si>
    <t>JST Crimp Connectors (SH series for the specific JST connector)</t>
  </si>
  <si>
    <t>SVH-41T-P1.1</t>
  </si>
  <si>
    <t>https://www.digikey.com/en/products/detail/jst-sales-america-inc/SVH-41T-P1-1/608760</t>
  </si>
  <si>
    <t>https://www.digikey.com/en/products/detail/eaton-electronics-division/HCM1A1305V3-1R5-R/26798750</t>
  </si>
  <si>
    <t>USB4105-GF-A</t>
  </si>
  <si>
    <t>S4B-XH-A</t>
  </si>
  <si>
    <t>HTSW-105-07-T-S</t>
  </si>
  <si>
    <t>https://www.digikey.com/en/products/detail/samtec-inc/HTSW-105-07-T-S/6691639?s=N4IgjCBcoEwBxVAYygMwIYBsDOBTANCAPZQDaIAzAKzUAMA7CALqEAOALlCAMrsBOASwB2AcxABfQnATQQKSBhwFiZEDBgBOWrQgsQHLr0GiJhMPQ0RZ8xXkIlI5ACxh1FRnoOQe-YWMlqOjCIcmhYdiqOIBr0MABszGyc3kZ%2BpiAAtMHWUPwArsoO5FTM4gHZ5AAq3ADqGWC0JUziQA</t>
  </si>
  <si>
    <t>S2B-XH-A-1</t>
  </si>
  <si>
    <t>TSW-102-07-T-S</t>
  </si>
  <si>
    <t>S3B-XH-A-1</t>
  </si>
  <si>
    <t>https://www.digikey.com/en/products/detail/jst-sales-america-inc/S4B-XH-A/1651041</t>
  </si>
  <si>
    <t>https://www.digikey.com/en/products/detail/gct/USB4105-GF-A/11198441</t>
  </si>
  <si>
    <t>https://www.digikey.com/en/products/detail/jst-sales-america-inc/S2B-XH-A-1/9961922</t>
  </si>
  <si>
    <t>https://www.digikey.com/en/products/detail/jst-sales-america-inc/S3B-XH-A-1/1556255</t>
  </si>
  <si>
    <t>https://www.digikey.com/en/products/detail/samtec-inc/TSW-102-07-T-S/1101622</t>
  </si>
  <si>
    <t>https://www.digikey.com/en/products/detail/diodes-incorporated/2N7002-7-F/717681</t>
  </si>
  <si>
    <t>CP-01404140</t>
  </si>
  <si>
    <t>https://www.digikey.com/en/products/detail/cvilux-usa/CP-01404140/13177343?s=N4IgTCBcDaIMIAUC0AGAjAFhRzKQF0BfIA</t>
  </si>
  <si>
    <t>XL-2012WYC</t>
  </si>
  <si>
    <t>Yellow LED</t>
  </si>
  <si>
    <t>https://www.digikey.com/en/products/detail/xinglight/XL-2012WYC/25673414</t>
  </si>
  <si>
    <t>CDBA340-HF</t>
  </si>
  <si>
    <t>https://www.digikey.com/en/products/detail/comchip-technology/CDBA340-HF/5400722</t>
  </si>
  <si>
    <t>Cypress</t>
  </si>
  <si>
    <t>https://www.digikey.com/en/products/detail/arlitech-electronic-corp/AMPI0640ED2R2MT/20415872?s=N4IgTCBcDaIIIFkAKBJADANgCxoKIBEwAlMBAFRAF0BfIA</t>
  </si>
  <si>
    <t>https://www.digikey.com/en/products/detail/w%C3%BCrth-elektronik/744311220/1638556</t>
  </si>
  <si>
    <t xml:space="preserve">Possible Replacement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</si>
</sst>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en/ProductDetail/STMicroelectronics/STM32C011F6U6TR?qs=IPgv5n7u5Qau3%252BO3S1Q91A%3D%3D" TargetMode="External"/><Relationship Id="rId13" Type="http://schemas.openxmlformats.org/officeDocument/2006/relationships/hyperlink" Target="https://www.digikey.com/en/products/detail/jst-sales-america-inc/S2P-VH/9924227" TargetMode="External"/><Relationship Id="rId18" Type="http://schemas.openxmlformats.org/officeDocument/2006/relationships/hyperlink" Target="https://www.digikey.com/en/products/detail/texas-instruments/INA3221AIRGVR/3588826" TargetMode="External"/><Relationship Id="rId26" Type="http://schemas.openxmlformats.org/officeDocument/2006/relationships/hyperlink" Target="https://www.digikey.com/en/products/detail/w%C3%BCrth-elektronik/744311220/1638556" TargetMode="External"/><Relationship Id="rId3" Type="http://schemas.openxmlformats.org/officeDocument/2006/relationships/hyperlink" Target="https://www.digikey.com/en/products/detail/jst-sales-america-inc/S2B-XH-A-1/9961922" TargetMode="External"/><Relationship Id="rId21" Type="http://schemas.openxmlformats.org/officeDocument/2006/relationships/hyperlink" Target="https://www.digikey.com/en/products/detail/jst-sales-america-inc/SVH-41T-P1-1/608760" TargetMode="External"/><Relationship Id="rId7" Type="http://schemas.openxmlformats.org/officeDocument/2006/relationships/hyperlink" Target="https://www.digikey.com/en/products/detail/diodes-incorporated/2N7002-7-F/717681" TargetMode="External"/><Relationship Id="rId12" Type="http://schemas.openxmlformats.org/officeDocument/2006/relationships/hyperlink" Target="https://www.digikey.com/en/products/detail/stmicroelectronics/STL6P3LLH6/5170838?s=N4IgTCBcDaIMoBUAyA2ACgZiUgEikAugL5A" TargetMode="External"/><Relationship Id="rId17" Type="http://schemas.openxmlformats.org/officeDocument/2006/relationships/hyperlink" Target="https://www.digikey.com/en/products/detail/stmicroelectronics/STUSB4500QTR/9092189?s=N4IgTCBcDaIMoBUCqcBCAWArABmwRQQCUQBdAXyA" TargetMode="External"/><Relationship Id="rId25" Type="http://schemas.openxmlformats.org/officeDocument/2006/relationships/hyperlink" Target="https://www.digikey.com/en/products/detail/arlitech-electronic-corp/AMPI0640ED2R2MT/20415872?s=N4IgTCBcDaIIIFkAKBJADANgCxoKIBEwAlMBAFRAF0BfIA" TargetMode="External"/><Relationship Id="rId2" Type="http://schemas.openxmlformats.org/officeDocument/2006/relationships/hyperlink" Target="https://www.digikey.com/en/products/detail/gct/USB4105-GF-A/11198441" TargetMode="External"/><Relationship Id="rId16" Type="http://schemas.openxmlformats.org/officeDocument/2006/relationships/hyperlink" Target="https://www.digikey.com/en/products/detail/texas-instruments/TPS259531DSGR/8021096?s=N4IgTCBcDaICoAUDKYCsBOVBmAjAESQHEAlEAXQF8g" TargetMode="External"/><Relationship Id="rId20" Type="http://schemas.openxmlformats.org/officeDocument/2006/relationships/hyperlink" Target="https://www.digikey.com/en/products/detail/jst-sales-america-inc/VHR-2N/608624" TargetMode="External"/><Relationship Id="rId1" Type="http://schemas.openxmlformats.org/officeDocument/2006/relationships/hyperlink" Target="https://www.digikey.com/en/products/detail/jst-sales-america-inc/S4B-XH-A/1651041" TargetMode="External"/><Relationship Id="rId6" Type="http://schemas.openxmlformats.org/officeDocument/2006/relationships/hyperlink" Target="https://www.digikey.com/en/products/detail/samtec-inc/TSW-102-07-T-S/1101622" TargetMode="External"/><Relationship Id="rId11" Type="http://schemas.openxmlformats.org/officeDocument/2006/relationships/hyperlink" Target="https://www.digikey.com/en/products/detail/vishay-siliconix/SI7615ADN-T1-GE3/3458156?s=N4IgTCBcDaIMoEkDsA2AjAVgIIBEByAtACpoEDiAogMwgC6AvkA" TargetMode="External"/><Relationship Id="rId24" Type="http://schemas.openxmlformats.org/officeDocument/2006/relationships/hyperlink" Target="https://www.digikey.com/en/products/detail/comchip-technology/CDBA340-HF/5400722" TargetMode="External"/><Relationship Id="rId5" Type="http://schemas.openxmlformats.org/officeDocument/2006/relationships/hyperlink" Target="https://www.digikey.com/en/products/detail/jst-sales-america-inc/S3B-XH-A-1/1556255" TargetMode="External"/><Relationship Id="rId15" Type="http://schemas.openxmlformats.org/officeDocument/2006/relationships/hyperlink" Target="https://www.digikey.com/en/products/detail/texas-instruments/BQ25306RTER/13562987?s=N4IgTCBcDaIEIEUwFYDMAGAbAJQCoFFsQBdAXyA" TargetMode="External"/><Relationship Id="rId23" Type="http://schemas.openxmlformats.org/officeDocument/2006/relationships/hyperlink" Target="https://www.digikey.com/en/products/detail/xinglight/XL-2012WYC/25673414" TargetMode="External"/><Relationship Id="rId10" Type="http://schemas.openxmlformats.org/officeDocument/2006/relationships/hyperlink" Target="https://www.digikey.com/en/products/detail/stmicroelectronics/LDL212PVR/6230112?s=N4IgTCBcDaIDIBE5gIxgAoDUBKIC6AvkA" TargetMode="External"/><Relationship Id="rId19" Type="http://schemas.openxmlformats.org/officeDocument/2006/relationships/hyperlink" Target="https://www.digikey.com/en/products/detail/texas-instruments/BQ29200DRBR/2348534?s=N4IgTCBcDaIEIEUwE4wAY0BEBKdsgF0BfIA" TargetMode="External"/><Relationship Id="rId4" Type="http://schemas.openxmlformats.org/officeDocument/2006/relationships/hyperlink" Target="https://www.digikey.com/en/products/detail/samtec-inc/HTSW-105-07-T-S/6691639?s=N4IgjCBcoEwBxVAYygMwIYBsDOBTANCAPZQDaIAzAKzUAMA7CALqEAOALlCAMrsBOASwB2AcxABfQnATQQKSBhwFiZEDBgBOWrQgsQHLr0GiJhMPQ0RZ8xXkIlI5ACxh1FRnoOQe-YWMlqOjCIcmhYdiqOIBr0MABszGyc3kZ%2BpiAAtMHWUPwArsoO5FTM4gHZ5AAq3ADqGWC0JUziQA" TargetMode="External"/><Relationship Id="rId9" Type="http://schemas.openxmlformats.org/officeDocument/2006/relationships/hyperlink" Target="https://www.digikey.com/en/products/detail/texas-instruments/TPS513885VABR/24708437?s=N4IgTCBcDaICoAUDKBWAjAZgBxZQNQEEAhAJRAF0BfIA" TargetMode="External"/><Relationship Id="rId14" Type="http://schemas.openxmlformats.org/officeDocument/2006/relationships/hyperlink" Target="https://www.digikey.com/en/products/detail/eaton-electronics-division/HCM1A1305V3-1R5-R/26798750" TargetMode="External"/><Relationship Id="rId22" Type="http://schemas.openxmlformats.org/officeDocument/2006/relationships/hyperlink" Target="https://www.digikey.com/en/products/detail/cvilux-usa/CP-01404140/13177343?s=N4IgTCBcDaIMIAUC0AGAjAFhRzKQ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ABD5-0CB0-4FAD-9A39-002E1327DB07}">
  <dimension ref="A1:J62"/>
  <sheetViews>
    <sheetView tabSelected="1" workbookViewId="0">
      <selection activeCell="G12" sqref="G12"/>
    </sheetView>
  </sheetViews>
  <sheetFormatPr defaultRowHeight="15" x14ac:dyDescent="0.25"/>
  <cols>
    <col min="1" max="1" width="57.5703125" customWidth="1"/>
    <col min="2" max="2" width="15.42578125" customWidth="1"/>
    <col min="3" max="3" width="31" customWidth="1"/>
    <col min="4" max="4" width="71.5703125" customWidth="1"/>
    <col min="5" max="5" width="14.7109375" customWidth="1"/>
    <col min="6" max="6" width="23" customWidth="1"/>
    <col min="7" max="7" width="17.42578125" customWidth="1"/>
    <col min="8" max="8" width="19.85546875" customWidth="1"/>
    <col min="9" max="9" width="29.140625" customWidth="1"/>
    <col min="10" max="10" width="43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148</v>
      </c>
      <c r="G1" t="s">
        <v>143</v>
      </c>
      <c r="H1" t="s">
        <v>146</v>
      </c>
      <c r="I1" t="s">
        <v>147</v>
      </c>
      <c r="J1" t="s">
        <v>200</v>
      </c>
    </row>
    <row r="2" spans="1:10" x14ac:dyDescent="0.25">
      <c r="A2" t="s">
        <v>5</v>
      </c>
      <c r="B2">
        <v>10</v>
      </c>
      <c r="C2" t="s">
        <v>6</v>
      </c>
      <c r="D2" t="s">
        <v>7</v>
      </c>
      <c r="E2" t="s">
        <v>193</v>
      </c>
      <c r="F2" t="s">
        <v>192</v>
      </c>
      <c r="G2" t="s">
        <v>144</v>
      </c>
      <c r="H2" t="s">
        <v>152</v>
      </c>
      <c r="I2" s="1" t="s">
        <v>194</v>
      </c>
    </row>
    <row r="3" spans="1:10" x14ac:dyDescent="0.25">
      <c r="A3" t="s">
        <v>8</v>
      </c>
      <c r="B3">
        <v>16</v>
      </c>
      <c r="C3" t="s">
        <v>9</v>
      </c>
      <c r="D3" t="s">
        <v>10</v>
      </c>
      <c r="G3" t="s">
        <v>197</v>
      </c>
    </row>
    <row r="4" spans="1:10" x14ac:dyDescent="0.25">
      <c r="A4" t="s">
        <v>11</v>
      </c>
      <c r="B4">
        <v>2</v>
      </c>
      <c r="C4" t="s">
        <v>12</v>
      </c>
      <c r="D4" t="s">
        <v>13</v>
      </c>
      <c r="G4" t="s">
        <v>197</v>
      </c>
    </row>
    <row r="5" spans="1:10" x14ac:dyDescent="0.25">
      <c r="A5" t="s">
        <v>14</v>
      </c>
      <c r="B5">
        <v>1</v>
      </c>
      <c r="C5" t="s">
        <v>15</v>
      </c>
      <c r="D5" t="s">
        <v>16</v>
      </c>
      <c r="G5" t="s">
        <v>197</v>
      </c>
    </row>
    <row r="6" spans="1:10" x14ac:dyDescent="0.25">
      <c r="A6" t="s">
        <v>17</v>
      </c>
      <c r="B6">
        <v>9</v>
      </c>
      <c r="C6" t="s">
        <v>18</v>
      </c>
      <c r="D6" t="s">
        <v>10</v>
      </c>
      <c r="G6" t="s">
        <v>197</v>
      </c>
    </row>
    <row r="7" spans="1:10" x14ac:dyDescent="0.25">
      <c r="A7" t="s">
        <v>19</v>
      </c>
      <c r="B7">
        <v>2</v>
      </c>
      <c r="C7" t="s">
        <v>20</v>
      </c>
      <c r="D7" t="s">
        <v>10</v>
      </c>
      <c r="G7" t="s">
        <v>197</v>
      </c>
    </row>
    <row r="8" spans="1:10" x14ac:dyDescent="0.25">
      <c r="A8" t="s">
        <v>21</v>
      </c>
      <c r="B8">
        <v>1</v>
      </c>
      <c r="C8" t="s">
        <v>22</v>
      </c>
      <c r="D8" t="s">
        <v>10</v>
      </c>
      <c r="G8" t="s">
        <v>197</v>
      </c>
    </row>
    <row r="9" spans="1:10" x14ac:dyDescent="0.25">
      <c r="A9" t="s">
        <v>23</v>
      </c>
      <c r="B9">
        <v>1</v>
      </c>
      <c r="C9" t="s">
        <v>24</v>
      </c>
      <c r="D9" t="s">
        <v>16</v>
      </c>
      <c r="G9" t="s">
        <v>197</v>
      </c>
    </row>
    <row r="10" spans="1:10" x14ac:dyDescent="0.25">
      <c r="A10" t="s">
        <v>25</v>
      </c>
      <c r="B10">
        <v>5</v>
      </c>
      <c r="C10" t="s">
        <v>26</v>
      </c>
      <c r="D10" t="s">
        <v>10</v>
      </c>
      <c r="G10" t="s">
        <v>197</v>
      </c>
    </row>
    <row r="11" spans="1:10" x14ac:dyDescent="0.25">
      <c r="A11" t="s">
        <v>27</v>
      </c>
      <c r="B11">
        <v>1</v>
      </c>
      <c r="C11" t="s">
        <v>28</v>
      </c>
      <c r="D11" t="s">
        <v>10</v>
      </c>
      <c r="G11" t="s">
        <v>197</v>
      </c>
    </row>
    <row r="12" spans="1:10" x14ac:dyDescent="0.25">
      <c r="A12" t="s">
        <v>29</v>
      </c>
      <c r="B12">
        <v>2</v>
      </c>
      <c r="C12" t="s">
        <v>30</v>
      </c>
      <c r="D12" t="s">
        <v>10</v>
      </c>
      <c r="G12" t="s">
        <v>197</v>
      </c>
    </row>
    <row r="13" spans="1:10" x14ac:dyDescent="0.25">
      <c r="A13" t="s">
        <v>31</v>
      </c>
      <c r="B13">
        <v>6</v>
      </c>
      <c r="C13" t="s">
        <v>32</v>
      </c>
      <c r="D13" t="s">
        <v>10</v>
      </c>
      <c r="G13" t="s">
        <v>197</v>
      </c>
    </row>
    <row r="14" spans="1:10" x14ac:dyDescent="0.25">
      <c r="A14" t="s">
        <v>33</v>
      </c>
      <c r="B14">
        <v>2</v>
      </c>
      <c r="C14" t="s">
        <v>34</v>
      </c>
      <c r="D14" t="s">
        <v>35</v>
      </c>
      <c r="F14" t="s">
        <v>195</v>
      </c>
      <c r="G14" t="s">
        <v>144</v>
      </c>
      <c r="H14" t="s">
        <v>152</v>
      </c>
      <c r="I14" s="1" t="s">
        <v>196</v>
      </c>
    </row>
    <row r="15" spans="1:10" x14ac:dyDescent="0.25">
      <c r="A15" t="s">
        <v>36</v>
      </c>
      <c r="B15">
        <v>4</v>
      </c>
      <c r="C15" t="s">
        <v>6</v>
      </c>
      <c r="D15" t="s">
        <v>37</v>
      </c>
      <c r="G15" t="s">
        <v>197</v>
      </c>
    </row>
    <row r="16" spans="1:10" x14ac:dyDescent="0.25">
      <c r="A16" t="s">
        <v>38</v>
      </c>
      <c r="B16">
        <v>2</v>
      </c>
      <c r="C16" t="s">
        <v>39</v>
      </c>
      <c r="D16" t="s">
        <v>40</v>
      </c>
      <c r="F16" t="s">
        <v>178</v>
      </c>
      <c r="G16" t="s">
        <v>144</v>
      </c>
      <c r="H16" t="s">
        <v>152</v>
      </c>
      <c r="I16" s="1" t="s">
        <v>184</v>
      </c>
    </row>
    <row r="17" spans="1:10" x14ac:dyDescent="0.25">
      <c r="A17" t="s">
        <v>41</v>
      </c>
      <c r="B17">
        <v>1</v>
      </c>
      <c r="C17" t="s">
        <v>42</v>
      </c>
      <c r="D17" t="s">
        <v>43</v>
      </c>
      <c r="F17" t="s">
        <v>179</v>
      </c>
      <c r="G17" t="s">
        <v>144</v>
      </c>
      <c r="H17" t="s">
        <v>152</v>
      </c>
      <c r="I17" s="1" t="s">
        <v>180</v>
      </c>
    </row>
    <row r="18" spans="1:10" x14ac:dyDescent="0.25">
      <c r="A18" t="s">
        <v>44</v>
      </c>
      <c r="B18">
        <v>1</v>
      </c>
      <c r="C18" t="s">
        <v>45</v>
      </c>
      <c r="D18" t="s">
        <v>46</v>
      </c>
      <c r="E18" t="s">
        <v>47</v>
      </c>
      <c r="F18" t="s">
        <v>177</v>
      </c>
      <c r="G18" t="s">
        <v>144</v>
      </c>
      <c r="H18" t="s">
        <v>152</v>
      </c>
      <c r="I18" s="1" t="s">
        <v>185</v>
      </c>
    </row>
    <row r="19" spans="1:10" x14ac:dyDescent="0.25">
      <c r="A19" t="s">
        <v>48</v>
      </c>
      <c r="B19">
        <v>1</v>
      </c>
      <c r="C19" t="s">
        <v>49</v>
      </c>
      <c r="D19" t="s">
        <v>50</v>
      </c>
      <c r="F19" t="s">
        <v>181</v>
      </c>
      <c r="G19" t="s">
        <v>144</v>
      </c>
      <c r="H19" t="s">
        <v>152</v>
      </c>
      <c r="I19" s="1" t="s">
        <v>186</v>
      </c>
    </row>
    <row r="20" spans="1:10" x14ac:dyDescent="0.25">
      <c r="A20" t="s">
        <v>51</v>
      </c>
      <c r="B20">
        <v>1</v>
      </c>
      <c r="C20" t="s">
        <v>52</v>
      </c>
      <c r="D20" t="s">
        <v>53</v>
      </c>
      <c r="F20" t="s">
        <v>190</v>
      </c>
      <c r="G20" t="s">
        <v>144</v>
      </c>
      <c r="H20" t="s">
        <v>152</v>
      </c>
      <c r="I20" s="1" t="s">
        <v>191</v>
      </c>
    </row>
    <row r="21" spans="1:10" x14ac:dyDescent="0.25">
      <c r="A21" t="s">
        <v>54</v>
      </c>
      <c r="B21">
        <v>1</v>
      </c>
      <c r="C21" t="s">
        <v>55</v>
      </c>
      <c r="D21" t="s">
        <v>56</v>
      </c>
      <c r="F21" t="s">
        <v>183</v>
      </c>
      <c r="G21" t="s">
        <v>144</v>
      </c>
      <c r="H21" t="s">
        <v>152</v>
      </c>
      <c r="I21" s="1" t="s">
        <v>187</v>
      </c>
    </row>
    <row r="22" spans="1:10" x14ac:dyDescent="0.25">
      <c r="A22" t="s">
        <v>57</v>
      </c>
      <c r="B22">
        <v>1</v>
      </c>
      <c r="C22" t="s">
        <v>58</v>
      </c>
      <c r="D22" t="s">
        <v>59</v>
      </c>
      <c r="F22" t="s">
        <v>182</v>
      </c>
      <c r="G22" t="s">
        <v>144</v>
      </c>
      <c r="H22" t="s">
        <v>152</v>
      </c>
      <c r="I22" s="1" t="s">
        <v>188</v>
      </c>
    </row>
    <row r="23" spans="1:10" x14ac:dyDescent="0.25">
      <c r="A23" t="s">
        <v>60</v>
      </c>
      <c r="B23">
        <v>1</v>
      </c>
      <c r="C23" t="s">
        <v>61</v>
      </c>
      <c r="D23" t="s">
        <v>62</v>
      </c>
      <c r="G23" t="s">
        <v>144</v>
      </c>
      <c r="H23" t="s">
        <v>152</v>
      </c>
      <c r="I23" s="1" t="s">
        <v>176</v>
      </c>
    </row>
    <row r="24" spans="1:10" x14ac:dyDescent="0.25">
      <c r="A24" t="s">
        <v>63</v>
      </c>
      <c r="B24">
        <v>1</v>
      </c>
      <c r="C24" t="s">
        <v>64</v>
      </c>
      <c r="D24" t="s">
        <v>65</v>
      </c>
      <c r="G24" t="s">
        <v>145</v>
      </c>
      <c r="H24" t="s">
        <v>152</v>
      </c>
      <c r="I24" s="1" t="s">
        <v>198</v>
      </c>
      <c r="J24" s="1" t="s">
        <v>199</v>
      </c>
    </row>
    <row r="25" spans="1:10" x14ac:dyDescent="0.25">
      <c r="A25" t="s">
        <v>66</v>
      </c>
      <c r="B25">
        <v>6</v>
      </c>
      <c r="C25" t="s">
        <v>67</v>
      </c>
      <c r="D25" t="s">
        <v>68</v>
      </c>
      <c r="F25" t="s">
        <v>167</v>
      </c>
      <c r="G25" t="s">
        <v>144</v>
      </c>
      <c r="H25" t="s">
        <v>152</v>
      </c>
      <c r="I25" s="1" t="s">
        <v>168</v>
      </c>
    </row>
    <row r="26" spans="1:10" x14ac:dyDescent="0.25">
      <c r="A26" t="s">
        <v>69</v>
      </c>
      <c r="B26">
        <v>1</v>
      </c>
      <c r="C26" t="s">
        <v>70</v>
      </c>
      <c r="D26" t="s">
        <v>71</v>
      </c>
      <c r="E26" t="s">
        <v>72</v>
      </c>
      <c r="F26" t="s">
        <v>165</v>
      </c>
      <c r="G26" t="s">
        <v>144</v>
      </c>
      <c r="H26" t="s">
        <v>152</v>
      </c>
      <c r="I26" s="1" t="s">
        <v>166</v>
      </c>
    </row>
    <row r="27" spans="1:10" x14ac:dyDescent="0.25">
      <c r="A27" t="s">
        <v>73</v>
      </c>
      <c r="B27">
        <v>3</v>
      </c>
      <c r="C27" t="s">
        <v>70</v>
      </c>
      <c r="D27" t="s">
        <v>74</v>
      </c>
      <c r="E27" t="s">
        <v>72</v>
      </c>
      <c r="F27" t="s">
        <v>163</v>
      </c>
      <c r="G27" t="s">
        <v>144</v>
      </c>
      <c r="H27" t="s">
        <v>152</v>
      </c>
      <c r="I27" s="1" t="s">
        <v>164</v>
      </c>
    </row>
    <row r="28" spans="1:10" x14ac:dyDescent="0.25">
      <c r="A28" t="s">
        <v>75</v>
      </c>
      <c r="B28">
        <v>2</v>
      </c>
      <c r="C28" t="s">
        <v>76</v>
      </c>
      <c r="D28" t="s">
        <v>77</v>
      </c>
      <c r="E28" t="s">
        <v>72</v>
      </c>
      <c r="F28" t="s">
        <v>162</v>
      </c>
      <c r="G28" t="s">
        <v>144</v>
      </c>
      <c r="H28" t="s">
        <v>152</v>
      </c>
      <c r="I28" s="1" t="s">
        <v>189</v>
      </c>
    </row>
    <row r="29" spans="1:10" x14ac:dyDescent="0.25">
      <c r="A29" t="s">
        <v>78</v>
      </c>
      <c r="B29">
        <v>8</v>
      </c>
      <c r="C29" t="s">
        <v>79</v>
      </c>
      <c r="D29" t="s">
        <v>80</v>
      </c>
      <c r="G29" t="s">
        <v>197</v>
      </c>
    </row>
    <row r="30" spans="1:10" x14ac:dyDescent="0.25">
      <c r="A30" t="s">
        <v>81</v>
      </c>
      <c r="B30">
        <v>2</v>
      </c>
      <c r="C30" t="s">
        <v>82</v>
      </c>
      <c r="D30" t="s">
        <v>80</v>
      </c>
      <c r="G30" t="s">
        <v>197</v>
      </c>
    </row>
    <row r="31" spans="1:10" x14ac:dyDescent="0.25">
      <c r="A31" t="s">
        <v>83</v>
      </c>
      <c r="B31">
        <v>9</v>
      </c>
      <c r="C31" t="s">
        <v>84</v>
      </c>
      <c r="D31" t="s">
        <v>80</v>
      </c>
      <c r="G31" t="s">
        <v>197</v>
      </c>
    </row>
    <row r="32" spans="1:10" x14ac:dyDescent="0.25">
      <c r="A32" t="s">
        <v>85</v>
      </c>
      <c r="B32">
        <v>13</v>
      </c>
      <c r="C32" t="s">
        <v>86</v>
      </c>
      <c r="D32" t="s">
        <v>80</v>
      </c>
      <c r="G32" t="s">
        <v>197</v>
      </c>
    </row>
    <row r="33" spans="1:7" x14ac:dyDescent="0.25">
      <c r="A33" t="s">
        <v>87</v>
      </c>
      <c r="B33">
        <v>4</v>
      </c>
      <c r="C33" t="s">
        <v>88</v>
      </c>
      <c r="D33" t="s">
        <v>80</v>
      </c>
      <c r="G33" t="s">
        <v>197</v>
      </c>
    </row>
    <row r="34" spans="1:7" x14ac:dyDescent="0.25">
      <c r="A34" t="s">
        <v>89</v>
      </c>
      <c r="B34">
        <v>2</v>
      </c>
      <c r="C34" t="s">
        <v>90</v>
      </c>
      <c r="D34" t="s">
        <v>80</v>
      </c>
      <c r="G34" t="s">
        <v>197</v>
      </c>
    </row>
    <row r="35" spans="1:7" x14ac:dyDescent="0.25">
      <c r="A35" t="s">
        <v>91</v>
      </c>
      <c r="B35">
        <v>1</v>
      </c>
      <c r="C35" t="s">
        <v>92</v>
      </c>
      <c r="D35" t="s">
        <v>80</v>
      </c>
      <c r="G35" t="s">
        <v>197</v>
      </c>
    </row>
    <row r="36" spans="1:7" x14ac:dyDescent="0.25">
      <c r="A36" t="s">
        <v>93</v>
      </c>
      <c r="B36">
        <v>2</v>
      </c>
      <c r="C36" t="s">
        <v>94</v>
      </c>
      <c r="D36" t="s">
        <v>80</v>
      </c>
      <c r="G36" t="s">
        <v>197</v>
      </c>
    </row>
    <row r="37" spans="1:7" x14ac:dyDescent="0.25">
      <c r="A37" t="s">
        <v>95</v>
      </c>
      <c r="B37">
        <v>1</v>
      </c>
      <c r="C37" t="s">
        <v>96</v>
      </c>
      <c r="D37" t="s">
        <v>80</v>
      </c>
      <c r="G37" t="s">
        <v>197</v>
      </c>
    </row>
    <row r="38" spans="1:7" x14ac:dyDescent="0.25">
      <c r="A38" t="s">
        <v>97</v>
      </c>
      <c r="B38">
        <v>2</v>
      </c>
      <c r="C38" t="s">
        <v>98</v>
      </c>
      <c r="D38" t="s">
        <v>80</v>
      </c>
      <c r="G38" t="s">
        <v>197</v>
      </c>
    </row>
    <row r="39" spans="1:7" x14ac:dyDescent="0.25">
      <c r="A39" t="s">
        <v>99</v>
      </c>
      <c r="B39">
        <v>4</v>
      </c>
      <c r="C39" t="s">
        <v>100</v>
      </c>
      <c r="D39" t="s">
        <v>80</v>
      </c>
      <c r="G39" t="s">
        <v>197</v>
      </c>
    </row>
    <row r="40" spans="1:7" x14ac:dyDescent="0.25">
      <c r="A40" t="s">
        <v>101</v>
      </c>
      <c r="B40">
        <v>1</v>
      </c>
      <c r="C40" t="s">
        <v>102</v>
      </c>
      <c r="D40" t="s">
        <v>80</v>
      </c>
      <c r="G40" t="s">
        <v>197</v>
      </c>
    </row>
    <row r="41" spans="1:7" x14ac:dyDescent="0.25">
      <c r="A41" t="s">
        <v>103</v>
      </c>
      <c r="B41">
        <v>3</v>
      </c>
      <c r="C41">
        <v>100</v>
      </c>
      <c r="D41" t="s">
        <v>80</v>
      </c>
      <c r="G41" t="s">
        <v>197</v>
      </c>
    </row>
    <row r="42" spans="1:7" x14ac:dyDescent="0.25">
      <c r="A42" t="s">
        <v>104</v>
      </c>
      <c r="B42">
        <v>1</v>
      </c>
      <c r="C42">
        <v>0</v>
      </c>
      <c r="D42" t="s">
        <v>80</v>
      </c>
      <c r="G42" t="s">
        <v>197</v>
      </c>
    </row>
    <row r="43" spans="1:7" x14ac:dyDescent="0.25">
      <c r="A43" t="s">
        <v>105</v>
      </c>
      <c r="B43">
        <v>1</v>
      </c>
      <c r="C43">
        <v>260</v>
      </c>
      <c r="D43" t="s">
        <v>80</v>
      </c>
      <c r="G43" t="s">
        <v>197</v>
      </c>
    </row>
    <row r="44" spans="1:7" x14ac:dyDescent="0.25">
      <c r="A44" t="s">
        <v>106</v>
      </c>
      <c r="B44">
        <v>1</v>
      </c>
      <c r="C44">
        <v>160</v>
      </c>
      <c r="D44" t="s">
        <v>80</v>
      </c>
      <c r="G44" t="s">
        <v>197</v>
      </c>
    </row>
    <row r="45" spans="1:7" x14ac:dyDescent="0.25">
      <c r="A45" t="s">
        <v>107</v>
      </c>
      <c r="B45">
        <v>1</v>
      </c>
      <c r="C45" t="s">
        <v>108</v>
      </c>
      <c r="D45" t="s">
        <v>80</v>
      </c>
      <c r="G45" t="s">
        <v>197</v>
      </c>
    </row>
    <row r="46" spans="1:7" x14ac:dyDescent="0.25">
      <c r="A46" t="s">
        <v>109</v>
      </c>
      <c r="B46">
        <v>1</v>
      </c>
      <c r="C46" t="s">
        <v>110</v>
      </c>
      <c r="D46" t="s">
        <v>80</v>
      </c>
      <c r="G46" t="s">
        <v>197</v>
      </c>
    </row>
    <row r="47" spans="1:7" x14ac:dyDescent="0.25">
      <c r="A47" t="s">
        <v>111</v>
      </c>
      <c r="B47">
        <v>1</v>
      </c>
      <c r="C47" t="s">
        <v>112</v>
      </c>
      <c r="D47" t="s">
        <v>80</v>
      </c>
      <c r="G47" t="s">
        <v>197</v>
      </c>
    </row>
    <row r="48" spans="1:7" x14ac:dyDescent="0.25">
      <c r="A48" t="s">
        <v>113</v>
      </c>
      <c r="B48">
        <v>6</v>
      </c>
      <c r="C48">
        <v>1780</v>
      </c>
      <c r="D48" t="s">
        <v>80</v>
      </c>
      <c r="G48" t="s">
        <v>197</v>
      </c>
    </row>
    <row r="49" spans="1:9" x14ac:dyDescent="0.25">
      <c r="A49" t="s">
        <v>114</v>
      </c>
      <c r="B49">
        <v>6</v>
      </c>
      <c r="C49">
        <v>0.1</v>
      </c>
      <c r="D49" t="s">
        <v>80</v>
      </c>
      <c r="G49" t="s">
        <v>197</v>
      </c>
    </row>
    <row r="50" spans="1:9" x14ac:dyDescent="0.25">
      <c r="A50" t="s">
        <v>115</v>
      </c>
      <c r="B50">
        <v>1</v>
      </c>
      <c r="C50" t="s">
        <v>116</v>
      </c>
      <c r="D50" t="s">
        <v>117</v>
      </c>
      <c r="F50" t="s">
        <v>159</v>
      </c>
      <c r="G50" t="s">
        <v>144</v>
      </c>
      <c r="H50" t="s">
        <v>160</v>
      </c>
      <c r="I50" s="1" t="s">
        <v>161</v>
      </c>
    </row>
    <row r="51" spans="1:9" x14ac:dyDescent="0.25">
      <c r="A51" t="s">
        <v>118</v>
      </c>
      <c r="B51">
        <v>1</v>
      </c>
      <c r="C51" t="s">
        <v>119</v>
      </c>
      <c r="D51" t="s">
        <v>120</v>
      </c>
      <c r="E51" t="s">
        <v>121</v>
      </c>
      <c r="F51" t="s">
        <v>157</v>
      </c>
      <c r="G51" t="s">
        <v>144</v>
      </c>
      <c r="H51" t="s">
        <v>152</v>
      </c>
      <c r="I51" s="1" t="s">
        <v>158</v>
      </c>
    </row>
    <row r="52" spans="1:9" x14ac:dyDescent="0.25">
      <c r="A52" t="s">
        <v>122</v>
      </c>
      <c r="B52">
        <v>1</v>
      </c>
      <c r="C52" t="s">
        <v>123</v>
      </c>
      <c r="D52" t="s">
        <v>124</v>
      </c>
      <c r="E52" t="s">
        <v>125</v>
      </c>
      <c r="F52" t="s">
        <v>123</v>
      </c>
      <c r="G52" t="s">
        <v>144</v>
      </c>
      <c r="H52" t="s">
        <v>152</v>
      </c>
      <c r="I52" s="1" t="s">
        <v>156</v>
      </c>
    </row>
    <row r="53" spans="1:9" x14ac:dyDescent="0.25">
      <c r="A53" t="s">
        <v>126</v>
      </c>
      <c r="B53">
        <v>6</v>
      </c>
      <c r="C53" t="s">
        <v>127</v>
      </c>
      <c r="D53" t="s">
        <v>128</v>
      </c>
      <c r="F53" t="s">
        <v>127</v>
      </c>
      <c r="G53" t="s">
        <v>144</v>
      </c>
      <c r="H53" t="s">
        <v>152</v>
      </c>
      <c r="I53" s="1" t="s">
        <v>155</v>
      </c>
    </row>
    <row r="54" spans="1:9" x14ac:dyDescent="0.25">
      <c r="A54" t="s">
        <v>129</v>
      </c>
      <c r="B54">
        <v>1</v>
      </c>
      <c r="C54" t="s">
        <v>130</v>
      </c>
      <c r="D54" t="s">
        <v>131</v>
      </c>
      <c r="F54" t="s">
        <v>130</v>
      </c>
      <c r="G54" t="s">
        <v>144</v>
      </c>
      <c r="H54" t="s">
        <v>152</v>
      </c>
      <c r="I54" s="1" t="s">
        <v>154</v>
      </c>
    </row>
    <row r="55" spans="1:9" x14ac:dyDescent="0.25">
      <c r="A55" t="s">
        <v>132</v>
      </c>
      <c r="B55">
        <v>1</v>
      </c>
      <c r="C55" t="s">
        <v>133</v>
      </c>
      <c r="D55" t="s">
        <v>134</v>
      </c>
      <c r="E55" t="s">
        <v>135</v>
      </c>
      <c r="F55" t="s">
        <v>133</v>
      </c>
      <c r="G55" t="s">
        <v>144</v>
      </c>
      <c r="H55" t="s">
        <v>152</v>
      </c>
      <c r="I55" s="1" t="s">
        <v>153</v>
      </c>
    </row>
    <row r="56" spans="1:9" x14ac:dyDescent="0.25">
      <c r="A56" t="s">
        <v>136</v>
      </c>
      <c r="B56">
        <v>1</v>
      </c>
      <c r="C56" t="s">
        <v>137</v>
      </c>
      <c r="D56" t="s">
        <v>138</v>
      </c>
      <c r="F56" t="s">
        <v>137</v>
      </c>
      <c r="G56" t="s">
        <v>144</v>
      </c>
      <c r="H56" t="s">
        <v>152</v>
      </c>
      <c r="I56" s="1" t="s">
        <v>151</v>
      </c>
    </row>
    <row r="57" spans="1:9" x14ac:dyDescent="0.25">
      <c r="A57" t="s">
        <v>139</v>
      </c>
      <c r="B57">
        <v>2</v>
      </c>
      <c r="C57" t="s">
        <v>140</v>
      </c>
      <c r="D57" t="s">
        <v>141</v>
      </c>
      <c r="E57" t="s">
        <v>142</v>
      </c>
      <c r="F57" t="s">
        <v>149</v>
      </c>
      <c r="G57" t="s">
        <v>144</v>
      </c>
      <c r="H57" t="s">
        <v>152</v>
      </c>
      <c r="I57" s="1" t="s">
        <v>150</v>
      </c>
    </row>
    <row r="60" spans="1:9" x14ac:dyDescent="0.25">
      <c r="A60" t="s">
        <v>169</v>
      </c>
    </row>
    <row r="61" spans="1:9" x14ac:dyDescent="0.25">
      <c r="A61" t="s">
        <v>171</v>
      </c>
      <c r="B61">
        <v>6</v>
      </c>
      <c r="C61" t="s">
        <v>170</v>
      </c>
      <c r="F61" t="s">
        <v>170</v>
      </c>
      <c r="G61" t="s">
        <v>144</v>
      </c>
      <c r="H61" t="s">
        <v>152</v>
      </c>
      <c r="I61" s="1" t="s">
        <v>172</v>
      </c>
    </row>
    <row r="62" spans="1:9" x14ac:dyDescent="0.25">
      <c r="A62" t="s">
        <v>173</v>
      </c>
      <c r="B62">
        <v>12</v>
      </c>
      <c r="C62" t="s">
        <v>174</v>
      </c>
      <c r="F62" t="s">
        <v>174</v>
      </c>
      <c r="G62" t="s">
        <v>144</v>
      </c>
      <c r="H62" t="s">
        <v>152</v>
      </c>
      <c r="I62" s="1" t="s">
        <v>175</v>
      </c>
    </row>
  </sheetData>
  <conditionalFormatting sqref="G61:H62">
    <cfRule type="containsText" dxfId="3" priority="1" operator="containsText" text="Out of Stock">
      <formula>NOT(ISERROR(SEARCH("Out of Stock",G61)))</formula>
    </cfRule>
    <cfRule type="containsText" dxfId="2" priority="2" operator="containsText" text="In Stock">
      <formula>NOT(ISERROR(SEARCH("In Stock",G61)))</formula>
    </cfRule>
  </conditionalFormatting>
  <conditionalFormatting sqref="H2 G2:G56 H14 H16:H28 H50:H57 F57:G57">
    <cfRule type="containsText" dxfId="1" priority="5" operator="containsText" text="Out of Stock">
      <formula>NOT(ISERROR(SEARCH("Out of Stock",F2)))</formula>
    </cfRule>
    <cfRule type="containsText" dxfId="0" priority="6" operator="containsText" text="In Stock">
      <formula>NOT(ISERROR(SEARCH("In Stock",F2)))</formula>
    </cfRule>
  </conditionalFormatting>
  <dataValidations count="3">
    <dataValidation type="list" allowBlank="1" showInputMessage="1" showErrorMessage="1" sqref="F57" xr:uid="{031C5A10-1507-4C99-9E82-3A0F17EA7C4F}">
      <formula1>"In Stock,Out of Stock"</formula1>
    </dataValidation>
    <dataValidation type="list" allowBlank="1" showInputMessage="1" showErrorMessage="1" sqref="H2:H57 H61:H62" xr:uid="{AAB99362-7583-49A2-8C1A-B912D02D270F}">
      <formula1>"DigiKey, Mouser"</formula1>
    </dataValidation>
    <dataValidation type="list" allowBlank="1" showInputMessage="1" showErrorMessage="1" sqref="G2:G62" xr:uid="{9D420036-5065-4CF0-8F25-2A236CAD6AD1}">
      <formula1>"In Stock, Out of Stock, Cypress"</formula1>
    </dataValidation>
  </dataValidations>
  <hyperlinks>
    <hyperlink ref="I16" r:id="rId1" xr:uid="{88797CC9-F0AD-4970-9AE7-4ABF6E6E2027}"/>
    <hyperlink ref="I18" r:id="rId2" xr:uid="{7B9849C1-4557-44A8-BFF3-58488F474F7A}"/>
    <hyperlink ref="I19" r:id="rId3" xr:uid="{010867F9-2664-4725-A7E1-FB82AF3B99EB}"/>
    <hyperlink ref="I17" r:id="rId4" display="https://www.digikey.com/en/products/detail/samtec-inc/HTSW-105-07-T-S/6691639?s=N4IgjCBcoEwBxVAYygMwIYBsDOBTANCAPZQDaIAzAKzUAMA7CALqEAOALlCAMrsBOASwB2AcxABfQnATQQKSBhwFiZEDBgBOWrQgsQHLr0GiJhMPQ0RZ8xXkIlI5ACxh1FRnoOQe-YWMlqOjCIcmhYdiqOIBr0MABszGyc3kZ%2BpiAAtMHWUPwArsoO5FTM4gHZ5AAq3ADqGWC0JUziQA" xr:uid="{4312AF0F-499B-4146-B221-F0ECBCC87F87}"/>
    <hyperlink ref="I21" r:id="rId5" xr:uid="{67B066CB-CD16-4BD1-AAF1-67AA7A9EFD7B}"/>
    <hyperlink ref="I22" r:id="rId6" xr:uid="{BB8877CB-C014-4363-B12C-2033D44EF61A}"/>
    <hyperlink ref="I28" r:id="rId7" xr:uid="{E1BB643C-9674-46BC-BAF6-65A2C072066D}"/>
    <hyperlink ref="I50" r:id="rId8" xr:uid="{F80E0F90-6ED3-44CE-98AE-1635422EB9D0}"/>
    <hyperlink ref="I51" r:id="rId9" xr:uid="{40C9698E-6AA0-4FC1-BE8C-B873348F0BEF}"/>
    <hyperlink ref="I52" r:id="rId10" xr:uid="{BED5A16C-009D-445F-A299-9039C9C82FD6}"/>
    <hyperlink ref="I27" r:id="rId11" xr:uid="{82A1CE12-2201-4C3E-A4B9-AA6F44993DEF}"/>
    <hyperlink ref="I26" r:id="rId12" xr:uid="{E228EE92-E0DB-4AF8-9563-F71F7D307878}"/>
    <hyperlink ref="I25" r:id="rId13" xr:uid="{8A6C9B15-EE4E-42BA-83F2-998C2D54B206}"/>
    <hyperlink ref="I23" r:id="rId14" xr:uid="{C75343AA-AD63-4D0E-ABAF-8682EB8867C5}"/>
    <hyperlink ref="I54" r:id="rId15" xr:uid="{CCF7F910-7A23-4A98-ACEA-D051D6AD03FC}"/>
    <hyperlink ref="I53" r:id="rId16" xr:uid="{C2BFFEF2-A832-4B6D-AEF3-F48F04ADBBD9}"/>
    <hyperlink ref="I55" r:id="rId17" xr:uid="{9615556E-2C29-4403-A08D-47AD82E12CCA}"/>
    <hyperlink ref="I57" r:id="rId18" xr:uid="{6B94E70F-DACA-420F-B9C1-29E466F6E364}"/>
    <hyperlink ref="I56" r:id="rId19" xr:uid="{9276E23C-1C0A-4B92-956D-2237DE74207E}"/>
    <hyperlink ref="I61" r:id="rId20" xr:uid="{ED3C45BD-DF03-4D65-B6B9-A80033196561}"/>
    <hyperlink ref="I62" r:id="rId21" xr:uid="{D3CA11AF-37E8-4E63-A91D-323FDDDCC5B6}"/>
    <hyperlink ref="I20" r:id="rId22" xr:uid="{719795DA-9432-4F59-920C-5529D1335113}"/>
    <hyperlink ref="I2" r:id="rId23" xr:uid="{C92553D5-957D-4E64-9369-0B5BB0A2EB40}"/>
    <hyperlink ref="I14" r:id="rId24" xr:uid="{C236FADA-DCE4-471C-A728-829F6B2C2CFB}"/>
    <hyperlink ref="I24" r:id="rId25" xr:uid="{8B948C4F-FCC5-4A54-80F6-6F1A1170409C}"/>
    <hyperlink ref="J24" r:id="rId26" xr:uid="{3AA44EA1-C6BA-4D1D-9759-3BD8A20594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ARCH-Mega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 Patel</dc:creator>
  <cp:lastModifiedBy>Malav Patel</cp:lastModifiedBy>
  <dcterms:created xsi:type="dcterms:W3CDTF">2026-10-23T22:17:28Z</dcterms:created>
  <dcterms:modified xsi:type="dcterms:W3CDTF">2026-10-24T02:18:51Z</dcterms:modified>
</cp:coreProperties>
</file>